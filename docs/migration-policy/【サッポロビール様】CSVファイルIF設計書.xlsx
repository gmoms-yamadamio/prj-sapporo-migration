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共有ドライブ\プロジェクト管理\01_CEC\0025_サッポロビール\SAP2501-01_サッポロビールECサイトリプレイス\90_移行\20_設計\"/>
    </mc:Choice>
  </mc:AlternateContent>
  <xr:revisionPtr revIDLastSave="0" documentId="13_ncr:1_{2795B293-6D33-466D-9AE1-A32CA9E8A75F}" xr6:coauthVersionLast="47" xr6:coauthVersionMax="47" xr10:uidLastSave="{00000000-0000-0000-0000-000000000000}"/>
  <bookViews>
    <workbookView xWindow="28680" yWindow="-120" windowWidth="29040" windowHeight="16440" tabRatio="911" xr2:uid="{33A677DA-0206-465D-9039-A4D5B17CC9A5}"/>
  </bookViews>
  <sheets>
    <sheet name="方針" sheetId="42" r:id="rId1"/>
    <sheet name="サンプル" sheetId="32" r:id="rId2"/>
    <sheet name="商品マスタCSV項目" sheetId="33" r:id="rId3"/>
    <sheet name="販売基本情報CSV項目" sheetId="38" r:id="rId4"/>
    <sheet name="販売条件CSV項目" sheetId="35" r:id="rId5"/>
    <sheet name="会員CSV項目" sheetId="30" r:id="rId6"/>
    <sheet name="会員アドレス帳CSV項目" sheetId="31" r:id="rId7"/>
    <sheet name="会員ポイントCSV項目" sheetId="29" r:id="rId8"/>
    <sheet name="注文履歴CSV項目" sheetId="45" r:id="rId9"/>
    <sheet name="注文履歴明細CSV項目" sheetId="46" r:id="rId10"/>
    <sheet name="法人CSV項目" sheetId="43" r:id="rId11"/>
    <sheet name="(参考)eshop会員グループコード" sheetId="48" r:id="rId12"/>
  </sheets>
  <externalReferences>
    <externalReference r:id="rId13"/>
    <externalReference r:id="rId14"/>
    <externalReference r:id="rId15"/>
    <externalReference r:id="rId16"/>
    <externalReference r:id="rId17"/>
  </externalReferences>
  <definedNames>
    <definedName name="_Fill">'[1]#REF'!#REF!</definedName>
    <definedName name="_xlnm._FilterDatabase" localSheetId="2" hidden="1">商品マスタCSV項目!$A$3:$I$11</definedName>
    <definedName name="_Regression_X">#REF!</definedName>
    <definedName name="_tst2">{#N/A,#N/A,TRUE,"カスタマイズ仕様書";#N/A,#N/A,TRUE,"Ｉ・Ｏ関連表(1)";#N/A,#N/A,TRUE,"Ｉ・Ｏ関連表(2)";#N/A,#N/A,TRUE,"Ｉ・Ｏ関連表(3)";#N/A,#N/A,TRUE,"レポート記述書";#N/A,#N/A,TRUE,"画面記述書"}</definedName>
    <definedName name="A4縦_フッタロゴなし">{#N/A,#N/A,TRUE,"カスタマイズ仕様書";#N/A,#N/A,TRUE,"Ｉ・Ｏ関連表(1)";#N/A,#N/A,TRUE,"Ｉ・Ｏ関連表(2)";#N/A,#N/A,TRUE,"Ｉ・Ｏ関連表(3)";#N/A,#N/A,TRUE,"レポート記述書";#N/A,#N/A,TRUE,"画面記述書"}</definedName>
    <definedName name="A4縦_雛形フッタロゴなし">{#N/A,#N/A,TRUE,"カスタマイズ仕様書";#N/A,#N/A,TRUE,"Ｉ・Ｏ関連表(1)";#N/A,#N/A,TRUE,"Ｉ・Ｏ関連表(2)";#N/A,#N/A,TRUE,"Ｉ・Ｏ関連表(3)";#N/A,#N/A,TRUE,"レポート記述書";#N/A,#N/A,TRUE,"画面記述書"}</definedName>
    <definedName name="aaaaa">{#N/A,#N/A,TRUE,"カスタマイズ仕様書";#N/A,#N/A,TRUE,"Ｉ・Ｏ関連表(1)";#N/A,#N/A,TRUE,"Ｉ・Ｏ関連表(2)";#N/A,#N/A,TRUE,"Ｉ・Ｏ関連表(3)";#N/A,#N/A,TRUE,"レポート記述書";#N/A,#N/A,TRUE,"画面記述書"}</definedName>
    <definedName name="ｇｇｇｇ">{#N/A,#N/A,TRUE,"カスタマイズ仕様書";#N/A,#N/A,TRUE,"Ｉ・Ｏ関連表(1)";#N/A,#N/A,TRUE,"Ｉ・Ｏ関連表(2)";#N/A,#N/A,TRUE,"Ｉ・Ｏ関連表(3)";#N/A,#N/A,TRUE,"レポート記述書";#N/A,#N/A,TRUE,"画面記述書"}</definedName>
    <definedName name="HTML_CodePage">932</definedName>
    <definedName name="HTML_Control">{"'一覧データ'!$A$3:$D$95"}</definedName>
    <definedName name="HTML_Description">""</definedName>
    <definedName name="HTML_Email">""</definedName>
    <definedName name="HTML_Header">"テーブル一覧（データ）"</definedName>
    <definedName name="HTML_LastUpdate">"99/05/14"</definedName>
    <definedName name="HTML_LineAfter">TRUE</definedName>
    <definedName name="HTML_LineBefore">TRUE</definedName>
    <definedName name="HTML_Name">"運航整備システム部"</definedName>
    <definedName name="HTML_OBDlg2">FALSE</definedName>
    <definedName name="HTML_OBDlg3">TRUE</definedName>
    <definedName name="HTML_OBDlg4">TRUE</definedName>
    <definedName name="HTML_OS">0</definedName>
    <definedName name="HTML_PathFile">"\\Jithovlc622\usrgrp1\HOA\新運乗システム\KDB\TEXT\db\tblidx.htm"</definedName>
    <definedName name="HTML_PathTemplate">"\\Jithovlc622\usrgrp1\HOA\新運乗システム\KDB\TEXT\db\tblidx.htm"</definedName>
    <definedName name="HTML_Title">"テーブル一覧"</definedName>
    <definedName name="HTML1_1">"[Book2]Sheet1!$A$1:$H$484"</definedName>
    <definedName name="HTML1_10">"obminfo@us.oracle.com"</definedName>
    <definedName name="HTML1_11">1</definedName>
    <definedName name="HTML1_12">"C:\Obm1\obm_html_doc\em_pl.htm"</definedName>
    <definedName name="HTML1_2">1</definedName>
    <definedName name="HTML1_3">"Oracle Business Models"</definedName>
    <definedName name="HTML1_4">"Process Library - Enterprise Management"</definedName>
    <definedName name="HTML1_5">""</definedName>
    <definedName name="HTML1_6">-4146</definedName>
    <definedName name="HTML1_7">-4146</definedName>
    <definedName name="HTML1_8">"7/6/99"</definedName>
    <definedName name="HTML1_9">"OBM Program Office"</definedName>
    <definedName name="HTMLCount">1</definedName>
    <definedName name="s">{#N/A,#N/A,TRUE,"カスタマイズ仕様書";#N/A,#N/A,TRUE,"Ｉ・Ｏ関連表(1)";#N/A,#N/A,TRUE,"Ｉ・Ｏ関連表(2)";#N/A,#N/A,TRUE,"Ｉ・Ｏ関連表(3)";#N/A,#N/A,TRUE,"レポート記述書";#N/A,#N/A,TRUE,"画面記述書"}</definedName>
    <definedName name="ss">{#N/A,#N/A,TRUE,"カスタマイズ仕様書";#N/A,#N/A,TRUE,"Ｉ・Ｏ関連表(1)";#N/A,#N/A,TRUE,"Ｉ・Ｏ関連表(2)";#N/A,#N/A,TRUE,"Ｉ・Ｏ関連表(3)";#N/A,#N/A,TRUE,"レポート記述書";#N/A,#N/A,TRUE,"画面記述書"}</definedName>
    <definedName name="ｔｓｔ">{#N/A,#N/A,TRUE,"カスタマイズ仕様書";#N/A,#N/A,TRUE,"Ｉ・Ｏ関連表(1)";#N/A,#N/A,TRUE,"Ｉ・Ｏ関連表(2)";#N/A,#N/A,TRUE,"Ｉ・Ｏ関連表(3)";#N/A,#N/A,TRUE,"レポート記述書";#N/A,#N/A,TRUE,"画面記述書"}</definedName>
    <definedName name="wrn.ORIG.">{#N/A,#N/A,TRUE,"カスタマイズ仕様書";#N/A,#N/A,TRUE,"Ｉ・Ｏ関連表(1)";#N/A,#N/A,TRUE,"Ｉ・Ｏ関連表(2)";#N/A,#N/A,TRUE,"Ｉ・Ｏ関連表(3)";#N/A,#N/A,TRUE,"レポート記述書";#N/A,#N/A,TRUE,"画面記述書"}</definedName>
    <definedName name="wrn.ORIG2">{#N/A,#N/A,TRUE,"カスタマイズ仕様書";#N/A,#N/A,TRUE,"Ｉ・Ｏ関連表(1)";#N/A,#N/A,TRUE,"Ｉ・Ｏ関連表(2)";#N/A,#N/A,TRUE,"Ｉ・Ｏ関連表(3)";#N/A,#N/A,TRUE,"レポート記述書";#N/A,#N/A,TRUE,"画面記述書"}</definedName>
    <definedName name="あ">{#N/A,#N/A,TRUE,"カスタマイズ仕様書";#N/A,#N/A,TRUE,"Ｉ・Ｏ関連表(1)";#N/A,#N/A,TRUE,"Ｉ・Ｏ関連表(2)";#N/A,#N/A,TRUE,"Ｉ・Ｏ関連表(3)";#N/A,#N/A,TRUE,"レポート記述書";#N/A,#N/A,TRUE,"画面記述書"}</definedName>
    <definedName name="ああ2">{#N/A,#N/A,TRUE,"カスタマイズ仕様書";#N/A,#N/A,TRUE,"Ｉ・Ｏ関連表(1)";#N/A,#N/A,TRUE,"Ｉ・Ｏ関連表(2)";#N/A,#N/A,TRUE,"Ｉ・Ｏ関連表(3)";#N/A,#N/A,TRUE,"レポート記述書";#N/A,#N/A,TRUE,"画面記述書"}</definedName>
    <definedName name="あああ">{#N/A,#N/A,TRUE,"カスタマイズ仕様書";#N/A,#N/A,TRUE,"Ｉ・Ｏ関連表(1)";#N/A,#N/A,TRUE,"Ｉ・Ｏ関連表(2)";#N/A,#N/A,TRUE,"Ｉ・Ｏ関連表(3)";#N/A,#N/A,TRUE,"レポート記述書";#N/A,#N/A,TRUE,"画面記述書"}</definedName>
    <definedName name="サイト区分">[2]設定!#REF!</definedName>
    <definedName name="テスト">#REF!</definedName>
    <definedName name="案件名">[3]基本情報!$C$4</definedName>
    <definedName name="改修対象">[2]設定!#REF!</definedName>
    <definedName name="改修対象レベル">[2]設定!$B$9:$B$17</definedName>
    <definedName name="管理者ロール2">{#N/A,#N/A,TRUE,"カスタマイズ仕様書";#N/A,#N/A,TRUE,"Ｉ・Ｏ関連表(1)";#N/A,#N/A,TRUE,"Ｉ・Ｏ関連表(2)";#N/A,#N/A,TRUE,"Ｉ・Ｏ関連表(3)";#N/A,#N/A,TRUE,"レポート記述書";#N/A,#N/A,TRUE,"画面記述書"}</definedName>
    <definedName name="関連表">#REF!</definedName>
    <definedName name="掲載">#REF!</definedName>
    <definedName name="顧客名">[3]基本情報!$C$3</definedName>
    <definedName name="項目名称">'[4]@項目一覧'!$B$1:$C$400</definedName>
    <definedName name="要望1_3_1">[5]SSK様ご要望一覧!#REF!</definedName>
    <definedName name="要望1_3_2">[5]SSK様ご要望一覧!#REF!</definedName>
    <definedName name="要望1_3_4">[5]SSK様ご要望一覧!#REF!</definedName>
    <definedName name="要望1_4">[5]SSK様ご要望一覧!#REF!</definedName>
    <definedName name="要望1_4_1">[5]SSK様ご要望一覧!#REF!</definedName>
    <definedName name="要望2">[5]SSK様ご要望一覧!#REF!</definedName>
    <definedName name="要望2_1">[5]SSK様ご要望一覧!#REF!</definedName>
    <definedName name="要望2_1_1">[5]SSK様ご要望一覧!#REF!</definedName>
    <definedName name="要望2_1_2">[5]SSK様ご要望一覧!#REF!</definedName>
    <definedName name="要望2_1_3">[5]SSK様ご要望一覧!#REF!</definedName>
    <definedName name="要望2_1_4">[5]SSK様ご要望一覧!#REF!</definedName>
    <definedName name="要望2_2">[5]SSK様ご要望一覧!#REF!</definedName>
    <definedName name="要望2_2_1">[5]SSK様ご要望一覧!#REF!</definedName>
    <definedName name="要望2_2_10">[5]SSK様ご要望一覧!#REF!</definedName>
    <definedName name="要望2_2_11">[5]SSK様ご要望一覧!#REF!</definedName>
    <definedName name="要望2_2_13">[5]SSK様ご要望一覧!#REF!</definedName>
    <definedName name="要望2_2_18">[5]SSK様ご要望一覧!#REF!</definedName>
    <definedName name="要望2_2_2">[5]SSK様ご要望一覧!#REF!</definedName>
    <definedName name="要望2_2_3">[5]SSK様ご要望一覧!#REF!</definedName>
    <definedName name="要望2_2_4">[5]SSK様ご要望一覧!#REF!</definedName>
    <definedName name="要望2_2_5">[5]SSK様ご要望一覧!#REF!</definedName>
    <definedName name="要望2_2_6">[5]SSK様ご要望一覧!#REF!</definedName>
    <definedName name="要望2_2_7">[5]SSK様ご要望一覧!#REF!</definedName>
    <definedName name="要望2_2_8">[5]SSK様ご要望一覧!#REF!</definedName>
    <definedName name="要望2_2_9">[5]SSK様ご要望一覧!#REF!</definedName>
    <definedName name="要望2_3">[5]SSK様ご要望一覧!#REF!</definedName>
    <definedName name="要望2_3_10">[5]SSK様ご要望一覧!#REF!</definedName>
    <definedName name="要望2_3_11">[5]SSK様ご要望一覧!#REF!</definedName>
    <definedName name="要望2_3_12">[5]SSK様ご要望一覧!#REF!</definedName>
    <definedName name="要望2_3_13">[5]SSK様ご要望一覧!#REF!</definedName>
    <definedName name="要望2_3_15">[5]SSK様ご要望一覧!#REF!</definedName>
    <definedName name="要望2_3_8">[5]SSK様ご要望一覧!#REF!</definedName>
    <definedName name="要望2_3_9">[5]SSK様ご要望一覧!#REF!</definedName>
    <definedName name="要望2_4">[5]SSK様ご要望一覧!#REF!</definedName>
    <definedName name="要望2_4_1">[5]SSK様ご要望一覧!#REF!</definedName>
    <definedName name="要望2_4_2">[5]SSK様ご要望一覧!#REF!</definedName>
    <definedName name="要望2_4_4">[5]SSK様ご要望一覧!#REF!</definedName>
    <definedName name="要望2_4_5">[5]SSK様ご要望一覧!#REF!</definedName>
    <definedName name="要望2_4_6">[5]SSK様ご要望一覧!#REF!</definedName>
    <definedName name="要望2_4_7">[5]SSK様ご要望一覧!#REF!</definedName>
    <definedName name="要望2_4_8">[5]SSK様ご要望一覧!#REF!</definedName>
    <definedName name="要望2_5">[5]SSK様ご要望一覧!#REF!</definedName>
    <definedName name="要望2_5_1">[5]SSK様ご要望一覧!#REF!</definedName>
    <definedName name="要望2_5_2">[5]SSK様ご要望一覧!#REF!</definedName>
    <definedName name="要望2_5_3">[5]SSK様ご要望一覧!#REF!</definedName>
    <definedName name="要望2_5_4">[5]SSK様ご要望一覧!#REF!</definedName>
    <definedName name="要望2_5_5">[5]SSK様ご要望一覧!#REF!</definedName>
    <definedName name="要望2_6">[5]SSK様ご要望一覧!#REF!</definedName>
    <definedName name="要望2_6_3">[5]SSK様ご要望一覧!#REF!</definedName>
    <definedName name="要望2_7">[5]SSK様ご要望一覧!#REF!</definedName>
    <definedName name="要望2_7_1">[5]SSK様ご要望一覧!#REF!</definedName>
    <definedName name="要望2_7_10">[5]SSK様ご要望一覧!#REF!</definedName>
    <definedName name="要望2_7_11">[5]SSK様ご要望一覧!#REF!</definedName>
    <definedName name="要望2_7_12">[5]SSK様ご要望一覧!#REF!</definedName>
    <definedName name="要望2_7_14">[5]SSK様ご要望一覧!#REF!</definedName>
    <definedName name="要望2_7_16">[5]SSK様ご要望一覧!#REF!</definedName>
    <definedName name="要望2_7_17">[5]SSK様ご要望一覧!#REF!</definedName>
    <definedName name="要望2_7_2">[5]SSK様ご要望一覧!#REF!</definedName>
    <definedName name="要望2_7_20">[5]SSK様ご要望一覧!#REF!</definedName>
    <definedName name="要望2_7_21">[5]SSK様ご要望一覧!#REF!</definedName>
    <definedName name="要望2_7_22">[5]SSK様ご要望一覧!#REF!</definedName>
    <definedName name="要望2_7_23">[5]SSK様ご要望一覧!#REF!</definedName>
    <definedName name="要望2_7_25">[5]SSK様ご要望一覧!#REF!</definedName>
    <definedName name="要望2_7_26">[5]SSK様ご要望一覧!#REF!</definedName>
    <definedName name="要望2_7_3">[5]SSK様ご要望一覧!#REF!</definedName>
    <definedName name="要望2_7_4">[5]SSK様ご要望一覧!#REF!</definedName>
    <definedName name="要望2_7_5">[5]SSK様ご要望一覧!#REF!</definedName>
    <definedName name="要望2_7_6">[5]SSK様ご要望一覧!#REF!</definedName>
    <definedName name="要望2_7_7">[5]SSK様ご要望一覧!#REF!</definedName>
    <definedName name="要望2_8">[5]SSK様ご要望一覧!#REF!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43" l="1"/>
  <c r="B7" i="38"/>
  <c r="B12" i="38"/>
  <c r="B7" i="45"/>
  <c r="B17" i="43"/>
  <c r="B16" i="43"/>
  <c r="B15" i="43"/>
  <c r="B14" i="43"/>
  <c r="B13" i="43"/>
  <c r="B12" i="43"/>
  <c r="B10" i="43"/>
  <c r="B9" i="43"/>
  <c r="B8" i="43"/>
  <c r="B7" i="43"/>
  <c r="B6" i="43"/>
  <c r="B5" i="43"/>
  <c r="B4" i="43"/>
  <c r="B11" i="45"/>
  <c r="B32" i="45"/>
  <c r="B31" i="45"/>
  <c r="B43" i="45"/>
  <c r="B42" i="45"/>
  <c r="B41" i="45"/>
  <c r="B40" i="45"/>
  <c r="B39" i="45"/>
  <c r="B28" i="45"/>
  <c r="B27" i="45"/>
  <c r="B26" i="45"/>
  <c r="B25" i="45"/>
  <c r="B24" i="45"/>
  <c r="B17" i="45"/>
  <c r="B15" i="45"/>
  <c r="B4" i="45"/>
  <c r="B11" i="46"/>
  <c r="B12" i="46"/>
  <c r="B10" i="46"/>
  <c r="B9" i="46"/>
  <c r="B8" i="46"/>
  <c r="B7" i="46"/>
  <c r="B6" i="46"/>
  <c r="B4" i="46"/>
  <c r="B5" i="46"/>
  <c r="B38" i="45"/>
  <c r="B37" i="45"/>
  <c r="B36" i="45"/>
  <c r="B35" i="45"/>
  <c r="B34" i="45"/>
  <c r="B33" i="45"/>
  <c r="B30" i="45"/>
  <c r="B29" i="45"/>
  <c r="B55" i="45"/>
  <c r="B54" i="45"/>
  <c r="B53" i="45"/>
  <c r="B52" i="45"/>
  <c r="B51" i="45"/>
  <c r="B50" i="45"/>
  <c r="B49" i="45"/>
  <c r="B13" i="45"/>
  <c r="B23" i="45"/>
  <c r="B22" i="45"/>
  <c r="B21" i="45"/>
  <c r="B20" i="45"/>
  <c r="B19" i="45"/>
  <c r="B18" i="45"/>
  <c r="B16" i="45"/>
  <c r="B14" i="45"/>
  <c r="B48" i="45"/>
  <c r="B47" i="45"/>
  <c r="B46" i="45"/>
  <c r="B45" i="45"/>
  <c r="B44" i="45"/>
  <c r="B12" i="45"/>
  <c r="B10" i="45"/>
  <c r="B9" i="45"/>
  <c r="B8" i="45"/>
  <c r="B6" i="45"/>
  <c r="B5" i="45"/>
  <c r="B6" i="35"/>
  <c r="B8" i="31"/>
  <c r="B9" i="31"/>
  <c r="B10" i="31"/>
  <c r="B11" i="31"/>
  <c r="B12" i="31"/>
  <c r="B13" i="31"/>
  <c r="B14" i="31"/>
  <c r="B15" i="31"/>
  <c r="B16" i="31"/>
  <c r="B17" i="31"/>
  <c r="B18" i="31"/>
  <c r="B19" i="31"/>
  <c r="B20" i="31"/>
  <c r="B21" i="31"/>
  <c r="B22" i="31"/>
  <c r="B23" i="31"/>
  <c r="B24" i="31"/>
  <c r="B7" i="31"/>
  <c r="B34" i="30"/>
  <c r="B35" i="30"/>
  <c r="B36" i="30"/>
  <c r="B37" i="30"/>
  <c r="B33" i="30"/>
  <c r="B7" i="30"/>
  <c r="B8" i="30"/>
  <c r="B9" i="30"/>
  <c r="B10" i="30"/>
  <c r="B11" i="30"/>
  <c r="B12" i="30"/>
  <c r="B13" i="30"/>
  <c r="B14" i="30"/>
  <c r="B15" i="30"/>
  <c r="B16" i="30"/>
  <c r="B17" i="30"/>
  <c r="B18" i="30"/>
  <c r="B19" i="30"/>
  <c r="B20" i="30"/>
  <c r="B21" i="30"/>
  <c r="B22" i="30"/>
  <c r="B23" i="30"/>
  <c r="B24" i="30"/>
  <c r="B25" i="30"/>
  <c r="B26" i="30"/>
  <c r="B27" i="30"/>
  <c r="B28" i="30"/>
  <c r="B29" i="30"/>
  <c r="B30" i="30"/>
  <c r="B6" i="30"/>
  <c r="B16" i="38"/>
  <c r="B15" i="38"/>
  <c r="B11" i="38"/>
  <c r="B14" i="38"/>
  <c r="B13" i="38"/>
  <c r="B19" i="38"/>
  <c r="B18" i="38"/>
  <c r="B10" i="38"/>
  <c r="B9" i="38"/>
  <c r="B22" i="38"/>
  <c r="B21" i="38"/>
  <c r="B20" i="38"/>
  <c r="B8" i="38"/>
  <c r="B17" i="38"/>
  <c r="B6" i="38"/>
  <c r="B5" i="38"/>
  <c r="B4" i="38"/>
  <c r="B43" i="35"/>
  <c r="B42" i="35"/>
  <c r="B41" i="35"/>
  <c r="B15" i="35"/>
  <c r="B14" i="35"/>
  <c r="B40" i="35"/>
  <c r="B39" i="35"/>
  <c r="B44" i="35"/>
  <c r="B33" i="35"/>
  <c r="B32" i="35"/>
  <c r="B31" i="35"/>
  <c r="B30" i="35"/>
  <c r="B29" i="35"/>
  <c r="B28" i="35"/>
  <c r="B27" i="35"/>
  <c r="B26" i="35"/>
  <c r="B25" i="35"/>
  <c r="B24" i="35"/>
  <c r="B23" i="35"/>
  <c r="B22" i="35"/>
  <c r="B21" i="35"/>
  <c r="B38" i="35"/>
  <c r="B37" i="35"/>
  <c r="B36" i="35"/>
  <c r="B35" i="35"/>
  <c r="B18" i="35"/>
  <c r="B13" i="35"/>
  <c r="B20" i="35"/>
  <c r="B12" i="35"/>
  <c r="B19" i="35"/>
  <c r="B11" i="35"/>
  <c r="B10" i="35"/>
  <c r="B9" i="35"/>
  <c r="B17" i="35"/>
  <c r="B8" i="35"/>
  <c r="B5" i="35"/>
  <c r="B7" i="35"/>
  <c r="B16" i="35"/>
  <c r="B34" i="35"/>
  <c r="B4" i="35"/>
  <c r="B11" i="33"/>
  <c r="B7" i="33"/>
  <c r="B10" i="33"/>
  <c r="B9" i="33"/>
  <c r="B8" i="33"/>
  <c r="B12" i="33"/>
  <c r="B6" i="33"/>
  <c r="B5" i="33"/>
  <c r="B4" i="33"/>
  <c r="B11" i="29"/>
  <c r="B6" i="31"/>
  <c r="B5" i="31"/>
  <c r="B4" i="31"/>
  <c r="B32" i="30"/>
  <c r="B31" i="30"/>
  <c r="B5" i="30"/>
  <c r="B4" i="30"/>
  <c r="B9" i="29"/>
  <c r="B10" i="29"/>
  <c r="B8" i="29"/>
  <c r="B7" i="29"/>
  <c r="B6" i="29"/>
  <c r="B5" i="29"/>
  <c r="B4" i="29"/>
</calcChain>
</file>

<file path=xl/sharedStrings.xml><?xml version="1.0" encoding="utf-8"?>
<sst xmlns="http://schemas.openxmlformats.org/spreadsheetml/2006/main" count="1774" uniqueCount="713">
  <si>
    <t>■商品マスタCSV項目</t>
    <rPh sb="1" eb="3">
      <t>ショウヒン</t>
    </rPh>
    <rPh sb="9" eb="11">
      <t>コウモク</t>
    </rPh>
    <phoneticPr fontId="7"/>
  </si>
  <si>
    <t>項目名</t>
    <rPh sb="0" eb="2">
      <t>コウモク</t>
    </rPh>
    <rPh sb="2" eb="3">
      <t>メイ</t>
    </rPh>
    <phoneticPr fontId="7"/>
  </si>
  <si>
    <t>新規</t>
    <rPh sb="0" eb="2">
      <t>シンキ</t>
    </rPh>
    <phoneticPr fontId="7"/>
  </si>
  <si>
    <t>更新</t>
    <rPh sb="0" eb="2">
      <t>コウシン</t>
    </rPh>
    <phoneticPr fontId="7"/>
  </si>
  <si>
    <t>削除</t>
    <rPh sb="0" eb="2">
      <t>サクジョ</t>
    </rPh>
    <phoneticPr fontId="7"/>
  </si>
  <si>
    <t>ダウンロード時</t>
    <rPh sb="6" eb="7">
      <t>ジ</t>
    </rPh>
    <phoneticPr fontId="7"/>
  </si>
  <si>
    <t>属性</t>
    <rPh sb="0" eb="2">
      <t>ゾクセイ</t>
    </rPh>
    <phoneticPr fontId="7"/>
  </si>
  <si>
    <t>最大長（文字数）</t>
    <rPh sb="0" eb="3">
      <t>サイダイチョウ</t>
    </rPh>
    <rPh sb="4" eb="6">
      <t>モジ</t>
    </rPh>
    <rPh sb="6" eb="7">
      <t>スウ</t>
    </rPh>
    <phoneticPr fontId="7"/>
  </si>
  <si>
    <t>説明</t>
    <rPh sb="0" eb="2">
      <t>セツメイ</t>
    </rPh>
    <phoneticPr fontId="7"/>
  </si>
  <si>
    <t>操作区分</t>
  </si>
  <si>
    <t>必須</t>
  </si>
  <si>
    <t>×</t>
  </si>
  <si>
    <t>半角英字</t>
  </si>
  <si>
    <t>必須※</t>
  </si>
  <si>
    <t>〇</t>
  </si>
  <si>
    <t>商品マスタコード</t>
    <phoneticPr fontId="9"/>
  </si>
  <si>
    <t>半角英数字</t>
  </si>
  <si>
    <t>商品マスタ名</t>
    <phoneticPr fontId="9"/>
  </si>
  <si>
    <t>全角または半角</t>
  </si>
  <si>
    <t>ソート順</t>
  </si>
  <si>
    <t>半角数字</t>
  </si>
  <si>
    <t>バリエーションコード1</t>
  </si>
  <si>
    <t>バリエーションコード2</t>
  </si>
  <si>
    <t>バリエーションコード3</t>
  </si>
  <si>
    <t>管理グループコード</t>
  </si>
  <si>
    <t>メモ</t>
  </si>
  <si>
    <t>■販売基本情報CSV項目</t>
    <rPh sb="1" eb="3">
      <t>ハンバイ</t>
    </rPh>
    <rPh sb="3" eb="5">
      <t>キホン</t>
    </rPh>
    <rPh sb="5" eb="7">
      <t>ジョウホウ</t>
    </rPh>
    <rPh sb="10" eb="12">
      <t>コウモク</t>
    </rPh>
    <phoneticPr fontId="7"/>
  </si>
  <si>
    <t>販売基本情報ID</t>
    <rPh sb="0" eb="6">
      <t>ハンバイキホンジョウホウ</t>
    </rPh>
    <phoneticPr fontId="9"/>
  </si>
  <si>
    <t>販売基本情報コード</t>
    <phoneticPr fontId="9"/>
  </si>
  <si>
    <t>商品名</t>
    <rPh sb="0" eb="3">
      <t>ショウヒンメイ</t>
    </rPh>
    <phoneticPr fontId="9"/>
  </si>
  <si>
    <t>掲載サイトID</t>
    <rPh sb="0" eb="2">
      <t>ケイサイ</t>
    </rPh>
    <phoneticPr fontId="9"/>
  </si>
  <si>
    <t>「|」区切りの半角数字</t>
    <rPh sb="3" eb="5">
      <t>クギ</t>
    </rPh>
    <rPh sb="7" eb="11">
      <t>ハンカクスウジ</t>
    </rPh>
    <phoneticPr fontId="9"/>
  </si>
  <si>
    <t>―</t>
  </si>
  <si>
    <t>表示対象ユーザー</t>
    <phoneticPr fontId="9"/>
  </si>
  <si>
    <t>表示対象会員グループID</t>
    <phoneticPr fontId="9"/>
  </si>
  <si>
    <t>「表示対象ユーザー」が「4: 特定の会員グループ」の場合使用する。
会員グループIDを「|」区切りで連結。</t>
    <rPh sb="26" eb="28">
      <t>バアイ</t>
    </rPh>
    <rPh sb="28" eb="30">
      <t>シヨウ</t>
    </rPh>
    <rPh sb="34" eb="36">
      <t>カイイン</t>
    </rPh>
    <rPh sb="46" eb="48">
      <t>クギ</t>
    </rPh>
    <rPh sb="50" eb="52">
      <t>レンケツ</t>
    </rPh>
    <phoneticPr fontId="9"/>
  </si>
  <si>
    <t>説明文2</t>
  </si>
  <si>
    <t>SKUコード</t>
  </si>
  <si>
    <t>■販売条件CSV項目</t>
    <rPh sb="1" eb="5">
      <t>ハンバイジョウケン</t>
    </rPh>
    <rPh sb="8" eb="10">
      <t>コウモク</t>
    </rPh>
    <phoneticPr fontId="7"/>
  </si>
  <si>
    <t>商品名</t>
  </si>
  <si>
    <t>表示優先順</t>
    <rPh sb="0" eb="5">
      <t>ヒョウジユウセンジュン</t>
    </rPh>
    <phoneticPr fontId="9"/>
  </si>
  <si>
    <t>入荷通知メール非対応</t>
    <phoneticPr fontId="9"/>
  </si>
  <si>
    <t>配送温度帯ID</t>
  </si>
  <si>
    <t>配送温度帯名</t>
    <phoneticPr fontId="9"/>
  </si>
  <si>
    <t>商品表示期間始端</t>
  </si>
  <si>
    <t>半角英数記号</t>
  </si>
  <si>
    <t>商品表示期間終端</t>
  </si>
  <si>
    <t>対象商品を表示する期間をYYYYY/MM/DD hh:mm:ss 形式で指定
商品表示期間始端と商品表示期間終端が両方指定されている場合、始端設定値と同じかそれよりも未来の日付の必要あり</t>
  </si>
  <si>
    <t>購入可能期間始端</t>
  </si>
  <si>
    <t>対象商品を購入できる期間をYYYYY/MM/DD hh:mm:ss 形式で指定</t>
  </si>
  <si>
    <t>購入可能期間終端</t>
  </si>
  <si>
    <t>対象商品を購入できる期間をYYYYY/MM/DD hh:mm:ss 形式で指定
購入可能期限始端と購入可能期限終端が両方指定されている場合、始端設定値と同じかそれよりも未来の日付の必要あり</t>
  </si>
  <si>
    <t>商品最大購入可能数</t>
  </si>
  <si>
    <t>SKU最小購入可能数</t>
  </si>
  <si>
    <t>SKU最大購入可能数</t>
  </si>
  <si>
    <t>会員単位の購入可能数（商品単位）</t>
  </si>
  <si>
    <t>会員単位の購入可能数（SKU単位）</t>
  </si>
  <si>
    <t>商品オプショングループコード</t>
    <phoneticPr fontId="9"/>
  </si>
  <si>
    <t>配送エリアグループコード</t>
  </si>
  <si>
    <t>原価</t>
  </si>
  <si>
    <t>販売価格</t>
  </si>
  <si>
    <t>通常価格</t>
  </si>
  <si>
    <t>税率(通常価格)</t>
    <phoneticPr fontId="9"/>
  </si>
  <si>
    <t>会員価格</t>
    <phoneticPr fontId="9"/>
  </si>
  <si>
    <t>バリエーションコード1</t>
    <phoneticPr fontId="5"/>
  </si>
  <si>
    <t>任意</t>
    <rPh sb="0" eb="2">
      <t>ニンイ</t>
    </rPh>
    <phoneticPr fontId="5"/>
  </si>
  <si>
    <t>管理グループコード</t>
    <phoneticPr fontId="5"/>
  </si>
  <si>
    <t>販売基本情報作成フラグ</t>
    <rPh sb="0" eb="2">
      <t>ハンバイ</t>
    </rPh>
    <rPh sb="2" eb="4">
      <t>キホン</t>
    </rPh>
    <rPh sb="4" eb="6">
      <t>ジョウホウ</t>
    </rPh>
    <rPh sb="6" eb="8">
      <t>サクセイ</t>
    </rPh>
    <phoneticPr fontId="9"/>
  </si>
  <si>
    <t>販売条件コード</t>
    <rPh sb="0" eb="4">
      <t>ハンバイジョウケン</t>
    </rPh>
    <phoneticPr fontId="9"/>
  </si>
  <si>
    <t>更新、削除時に販売条件ID、または販売条件コードのいずれかが必須</t>
    <phoneticPr fontId="9"/>
  </si>
  <si>
    <t>販売SKUコード</t>
    <rPh sb="0" eb="2">
      <t>ハンバイ</t>
    </rPh>
    <phoneticPr fontId="9"/>
  </si>
  <si>
    <t>発売日</t>
    <phoneticPr fontId="9"/>
  </si>
  <si>
    <t>発売日表示ラベル</t>
    <phoneticPr fontId="9"/>
  </si>
  <si>
    <t>出荷予定日</t>
    <phoneticPr fontId="9"/>
  </si>
  <si>
    <t>出荷予定日表示ラベル</t>
    <phoneticPr fontId="9"/>
  </si>
  <si>
    <t>予約販売期間開始日</t>
    <phoneticPr fontId="9"/>
  </si>
  <si>
    <t>予約販売期間終了日</t>
    <phoneticPr fontId="9"/>
  </si>
  <si>
    <t>予約販売備考</t>
    <phoneticPr fontId="9"/>
  </si>
  <si>
    <t>説明文1</t>
    <phoneticPr fontId="5"/>
  </si>
  <si>
    <t>配送方法グループコード</t>
    <phoneticPr fontId="5"/>
  </si>
  <si>
    <t>税率(販売価格)</t>
    <phoneticPr fontId="5"/>
  </si>
  <si>
    <t>YYYY/MM/DD形式で指定</t>
    <phoneticPr fontId="9"/>
  </si>
  <si>
    <t>対象商品を表示する期間をYYYYY/MM/DD hh:mm:ss 形式で指定</t>
    <phoneticPr fontId="5"/>
  </si>
  <si>
    <t>販売停止</t>
    <rPh sb="0" eb="2">
      <t>ハンバイ</t>
    </rPh>
    <rPh sb="2" eb="4">
      <t>テイシ</t>
    </rPh>
    <phoneticPr fontId="9"/>
  </si>
  <si>
    <t>－</t>
    <phoneticPr fontId="5"/>
  </si>
  <si>
    <t>商品最小購入可能数</t>
    <phoneticPr fontId="5"/>
  </si>
  <si>
    <t>対象商品を予約できる期間をYYYYY/MM/DD hh:mm 形式で指定</t>
    <rPh sb="5" eb="7">
      <t>ヨヤク</t>
    </rPh>
    <phoneticPr fontId="9"/>
  </si>
  <si>
    <t>対象商品を予約できる期間をYYYYY/MM/DD hh:mm 形式で指定
予約販売期間開始日と予約販売期間終了日が両方指定されている場合、始端設定値と同じかそれよりも未来の日付の必要あり</t>
    <rPh sb="37" eb="46">
      <t>ヨヤクハンバイキカンカイシヒ</t>
    </rPh>
    <rPh sb="53" eb="56">
      <t>シュウリョウヒ</t>
    </rPh>
    <phoneticPr fontId="9"/>
  </si>
  <si>
    <t>0以上の正数</t>
    <phoneticPr fontId="5"/>
  </si>
  <si>
    <t>ソート順</t>
    <phoneticPr fontId="5"/>
  </si>
  <si>
    <t>1024</t>
  </si>
  <si>
    <t>21844</t>
  </si>
  <si>
    <t>10</t>
  </si>
  <si>
    <t>※必須</t>
  </si>
  <si>
    <t>64</t>
  </si>
  <si>
    <t>半角英数・ハイフン・アンダーバー</t>
  </si>
  <si>
    <t>サイトコード</t>
  </si>
  <si>
    <t>ポイントキャンペーンコード</t>
  </si>
  <si>
    <t>会員ID</t>
  </si>
  <si>
    <t>1</t>
  </si>
  <si>
    <t>説明</t>
  </si>
  <si>
    <t>最大長(文字数)</t>
  </si>
  <si>
    <t>属性</t>
  </si>
  <si>
    <t>新規</t>
  </si>
  <si>
    <t>項目名</t>
  </si>
  <si>
    <t>■会員CSV項目</t>
    <phoneticPr fontId="5"/>
  </si>
  <si>
    <t>更新</t>
  </si>
  <si>
    <t>登録時システム自動採番。変更・重複不可。更新時に対象の会員IDを指定します。</t>
  </si>
  <si>
    <t>会員のメールアドレスを設定します。新規登録時必須、重複不可。</t>
  </si>
  <si>
    <t>生年月日</t>
  </si>
  <si>
    <t>会員の生年月日をYYYYMMDD形式で設定します。</t>
  </si>
  <si>
    <t>性別</t>
  </si>
  <si>
    <t>会員の性別をman/woman/otherのいずれかで設定します。</t>
  </si>
  <si>
    <t>電話番号1</t>
  </si>
  <si>
    <t>会員の電話番号で主となる番号を設定します。</t>
  </si>
  <si>
    <t>電話番号2</t>
  </si>
  <si>
    <t>会員の電話番号で副となる番号を設定します。</t>
  </si>
  <si>
    <t>FAX</t>
  </si>
  <si>
    <t>会員のFAX番号を設定します。</t>
  </si>
  <si>
    <t>郵便番号</t>
  </si>
  <si>
    <t>会員の住所データにおける郵便番号を設定します。</t>
  </si>
  <si>
    <t>都道府県</t>
  </si>
  <si>
    <t>全角</t>
  </si>
  <si>
    <t>会員の住所データにおける都道府県を設定します。</t>
  </si>
  <si>
    <t>市区町村</t>
  </si>
  <si>
    <t>会員の住所データにおける市区町村を設定します。</t>
  </si>
  <si>
    <t>番地</t>
  </si>
  <si>
    <t>会員の住所データにおける番地部分を設定します。</t>
  </si>
  <si>
    <t>建物名等</t>
  </si>
  <si>
    <t>会員の住所データにおける建物名を設定します。</t>
  </si>
  <si>
    <t>会社名</t>
  </si>
  <si>
    <t>会員の住所データにおける会社名を設定します。</t>
  </si>
  <si>
    <t>会社名読み</t>
  </si>
  <si>
    <t>会員の住所データにおける会社名のよみがなを設定します。</t>
  </si>
  <si>
    <t>部署名</t>
  </si>
  <si>
    <t>会員の住所データにおける部署名を設定します。</t>
  </si>
  <si>
    <t>役職</t>
  </si>
  <si>
    <t>会員の住所データにおける役職を設定します。</t>
  </si>
  <si>
    <t>登録元サイトコード</t>
  </si>
  <si>
    <t>会員登録日時</t>
  </si>
  <si>
    <t>会員データの登録日時。新規登録時にYYYY/MM/DD hh:mm:ss形式で登録可、未指定時はCSVでの登録日時を設定します。</t>
  </si>
  <si>
    <t>MRメール配信可否</t>
  </si>
  <si>
    <t>販促メール配信可否</t>
  </si>
  <si>
    <t>ニックネーム</t>
  </si>
  <si>
    <t>会員データのニックネームを設定します。</t>
  </si>
  <si>
    <t>会員グループコード</t>
  </si>
  <si>
    <t>パスワードリセット</t>
  </si>
  <si>
    <t>更新のみ指定可。会員のパスワード設定に対するリセット可否（0:リセットしない、1:リセットする）。</t>
  </si>
  <si>
    <t>No</t>
    <phoneticPr fontId="5"/>
  </si>
  <si>
    <t>必須</t>
    <phoneticPr fontId="5"/>
  </si>
  <si>
    <t>[カスタム]メールマガジン配信（シュパーク）</t>
    <phoneticPr fontId="5"/>
  </si>
  <si>
    <t>[カスタム]メールマガジン配信（eSHOP）</t>
    <phoneticPr fontId="5"/>
  </si>
  <si>
    <t>[カスタム]メールマガジン配信（ラガービール）</t>
    <phoneticPr fontId="5"/>
  </si>
  <si>
    <t>[カスタム]旧会員ID</t>
    <phoneticPr fontId="5"/>
  </si>
  <si>
    <t>[カスタム]法人コード</t>
    <phoneticPr fontId="5"/>
  </si>
  <si>
    <t>パスワード再設定依頼メール送信</t>
    <phoneticPr fontId="5"/>
  </si>
  <si>
    <t>-</t>
    <phoneticPr fontId="5"/>
  </si>
  <si>
    <t>移行前の会員ID（カスタマーリングス等で利用）</t>
    <rPh sb="0" eb="3">
      <t>イコウマエ</t>
    </rPh>
    <rPh sb="4" eb="6">
      <t>カイイン</t>
    </rPh>
    <rPh sb="18" eb="19">
      <t>トウ</t>
    </rPh>
    <rPh sb="20" eb="22">
      <t>リヨウ</t>
    </rPh>
    <phoneticPr fontId="5"/>
  </si>
  <si>
    <t>法人コードを設定する</t>
    <rPh sb="0" eb="2">
      <t>ホウジン</t>
    </rPh>
    <rPh sb="6" eb="8">
      <t>セッテイ</t>
    </rPh>
    <phoneticPr fontId="5"/>
  </si>
  <si>
    <t>会員ID</t>
    <phoneticPr fontId="5"/>
  </si>
  <si>
    <t>サイトコード。固定値（lager、shupark、eshop）となります</t>
    <rPh sb="7" eb="10">
      <t>コテイチ</t>
    </rPh>
    <phoneticPr fontId="5"/>
  </si>
  <si>
    <t>会員メールアドレス</t>
  </si>
  <si>
    <t>分類</t>
  </si>
  <si>
    <t>会員アドレス帳の住所データにおける郵便番号を設定</t>
  </si>
  <si>
    <t>会員アドレス帳の住所データにおける都道府県を設定</t>
  </si>
  <si>
    <t>会員アドレス帳の住所データにおける市区町村を設定</t>
  </si>
  <si>
    <t>会員アドレス帳の住所データにおける番地部分を設定</t>
  </si>
  <si>
    <t>会員アドレス帳の住所データにおける建物名を設定</t>
  </si>
  <si>
    <t>0：付与、1：消化の数字1文字を用途に合わせて設定します。</t>
    <rPh sb="10" eb="11">
      <t>スウ</t>
    </rPh>
    <phoneticPr fontId="5"/>
  </si>
  <si>
    <t>アドレスID</t>
  </si>
  <si>
    <t>登録時システム自動採番。変更・重複不可。更新・削除時に対象のアドレスIDを指定</t>
  </si>
  <si>
    <t>会員アドレス帳の電話番号で副となる番号を設定</t>
  </si>
  <si>
    <t>会員アドレス帳のFAX番号を設定</t>
  </si>
  <si>
    <t>会員アドレス帳の住所データにおける会社名を設定</t>
  </si>
  <si>
    <t>会員アドレス帳の住所データにおける会社名のよみがなを設定</t>
  </si>
  <si>
    <t>会員アドレス帳の住所データにおける部署名を設定</t>
  </si>
  <si>
    <t>会員アドレス帳の住所データにおける役職を設定</t>
  </si>
  <si>
    <t>更新</t>
    <phoneticPr fontId="5"/>
  </si>
  <si>
    <t>削除</t>
    <phoneticPr fontId="5"/>
  </si>
  <si>
    <t>会員メールアドレスを必須として指定（会員IDに変更可能）</t>
    <rPh sb="23" eb="25">
      <t>ヘンコウ</t>
    </rPh>
    <rPh sb="25" eb="27">
      <t>カノウ</t>
    </rPh>
    <phoneticPr fontId="5"/>
  </si>
  <si>
    <t>配信を希望する場合：「対象」、配信を希望しない場合：「対象外」</t>
    <rPh sb="0" eb="2">
      <t>ハイシン</t>
    </rPh>
    <rPh sb="3" eb="5">
      <t>キボウ</t>
    </rPh>
    <rPh sb="7" eb="9">
      <t>バアイ</t>
    </rPh>
    <rPh sb="15" eb="17">
      <t>ハイシン</t>
    </rPh>
    <rPh sb="18" eb="20">
      <t>キボウ</t>
    </rPh>
    <rPh sb="23" eb="25">
      <t>バアイ</t>
    </rPh>
    <phoneticPr fontId="5"/>
  </si>
  <si>
    <t>操作区分</t>
    <phoneticPr fontId="5"/>
  </si>
  <si>
    <t>アドレス名</t>
    <phoneticPr fontId="5"/>
  </si>
  <si>
    <t>名前（苗字）</t>
    <phoneticPr fontId="5"/>
  </si>
  <si>
    <t>名前（名）</t>
    <phoneticPr fontId="5"/>
  </si>
  <si>
    <t>名前読み（苗字）</t>
    <phoneticPr fontId="5"/>
  </si>
  <si>
    <t>名前読み（名）</t>
    <phoneticPr fontId="5"/>
  </si>
  <si>
    <t>会員の名前（苗字）を設定</t>
    <phoneticPr fontId="5"/>
  </si>
  <si>
    <t>会員の名前（名）を設定</t>
    <phoneticPr fontId="5"/>
  </si>
  <si>
    <t>会員の名前読み（苗字）へのフリガナを設定</t>
    <phoneticPr fontId="5"/>
  </si>
  <si>
    <t>会員の名前読み（名）へのフリガナを設定</t>
    <phoneticPr fontId="5"/>
  </si>
  <si>
    <t>付与ポイント数</t>
  </si>
  <si>
    <t>※付与区分に付与が選択されている場合必須。以下の条件の場合はエラーとなります。消化を選択した場合に値が入力されている。</t>
  </si>
  <si>
    <t>消化ポイント数</t>
  </si>
  <si>
    <t>Description</t>
  </si>
  <si>
    <t>お名前（苗字）</t>
    <phoneticPr fontId="5"/>
  </si>
  <si>
    <t>お名前（名）</t>
    <phoneticPr fontId="5"/>
  </si>
  <si>
    <t>お名前（フリガナ）（苗字）</t>
    <phoneticPr fontId="5"/>
  </si>
  <si>
    <t>お名前（フリガナ）（名）</t>
    <phoneticPr fontId="5"/>
  </si>
  <si>
    <t>会員アドレス帳の電話番号で主となる番号を設定</t>
    <phoneticPr fontId="5"/>
  </si>
  <si>
    <t>会員アドレス帳の名前（苗字）を設定</t>
    <phoneticPr fontId="5"/>
  </si>
  <si>
    <t>会員アドレス帳の名前（名）を設定</t>
    <phoneticPr fontId="5"/>
  </si>
  <si>
    <t>会員アドレス帳の名前読み（苗字）へのフリガナを設定</t>
    <phoneticPr fontId="5"/>
  </si>
  <si>
    <t>会員アドレス帳の名前読み（名）へのフリガナを設定</t>
    <phoneticPr fontId="5"/>
  </si>
  <si>
    <t>メールアドレス</t>
  </si>
  <si>
    <t>メールアドレス2</t>
  </si>
  <si>
    <t>会員の第2メールアドレスを設定します。新規登録時、メール送信先選択でsecondaryおよびbothを指定の場合は必須です。</t>
  </si>
  <si>
    <t>メール送信先選択</t>
  </si>
  <si>
    <t>会員への通知を送信するメールアドレスの選択を指定します。primary（初期値）/secondary/both。新規登録時は必須、更新時は省略可。</t>
    <phoneticPr fontId="5"/>
  </si>
  <si>
    <t>primary</t>
  </si>
  <si>
    <t>鈴木</t>
  </si>
  <si>
    <t>スズキ</t>
  </si>
  <si>
    <t>man</t>
  </si>
  <si>
    <t>東京都</t>
  </si>
  <si>
    <t>千代田区</t>
  </si>
  <si>
    <t>C</t>
    <phoneticPr fontId="5"/>
  </si>
  <si>
    <t>対象</t>
    <phoneticPr fontId="5"/>
  </si>
  <si>
    <t>ニック</t>
    <phoneticPr fontId="5"/>
  </si>
  <si>
    <t>千代田１－２－３</t>
    <phoneticPr fontId="5"/>
  </si>
  <si>
    <t>GMOビル</t>
    <phoneticPr fontId="5"/>
  </si>
  <si>
    <t>株式会社GMO</t>
    <rPh sb="0" eb="4">
      <t>カブシキガイシャ</t>
    </rPh>
    <phoneticPr fontId="5"/>
  </si>
  <si>
    <t>カブシキガイシャジーエムオー</t>
    <phoneticPr fontId="5"/>
  </si>
  <si>
    <t>課長</t>
    <rPh sb="0" eb="2">
      <t>カチョウ</t>
    </rPh>
    <phoneticPr fontId="5"/>
  </si>
  <si>
    <t>カスタム部</t>
    <rPh sb="4" eb="5">
      <t>ブ</t>
    </rPh>
    <phoneticPr fontId="5"/>
  </si>
  <si>
    <t>mg_001</t>
    <phoneticPr fontId="5"/>
  </si>
  <si>
    <t>太郎</t>
    <rPh sb="0" eb="2">
      <t>タロウ</t>
    </rPh>
    <phoneticPr fontId="5"/>
  </si>
  <si>
    <t>タロウ</t>
    <phoneticPr fontId="5"/>
  </si>
  <si>
    <t>08012341234</t>
    <phoneticPr fontId="5"/>
  </si>
  <si>
    <t>お届け先住所1</t>
  </si>
  <si>
    <t>一朗</t>
  </si>
  <si>
    <t>イチロウ</t>
  </si>
  <si>
    <t>北海道</t>
  </si>
  <si>
    <t>札幌市北区</t>
  </si>
  <si>
    <t>09099998888</t>
    <phoneticPr fontId="5"/>
  </si>
  <si>
    <t>アドレスビル</t>
    <phoneticPr fontId="5"/>
  </si>
  <si>
    <t>0010000</t>
    <phoneticPr fontId="5"/>
  </si>
  <si>
    <t>サッポロ１２３</t>
    <phoneticPr fontId="5"/>
  </si>
  <si>
    <t>株式会社ABC</t>
    <rPh sb="0" eb="4">
      <t>カブシキガイシャ</t>
    </rPh>
    <phoneticPr fontId="5"/>
  </si>
  <si>
    <t>株式会社エービーシー</t>
    <rPh sb="0" eb="4">
      <t>カブシキガイシャ</t>
    </rPh>
    <phoneticPr fontId="5"/>
  </si>
  <si>
    <t>人事</t>
    <rPh sb="0" eb="2">
      <t>ジンジ</t>
    </rPh>
    <phoneticPr fontId="5"/>
  </si>
  <si>
    <t>主任</t>
    <rPh sb="0" eb="2">
      <t>シュニン</t>
    </rPh>
    <phoneticPr fontId="5"/>
  </si>
  <si>
    <t>※付与区分に消化が選択されている場合必須。以下の条件の場合はエラーとなります。付与を選択した場合に値が入力されている。消化ポイントの設定が保持している確定ポイントを超える場合。</t>
    <phoneticPr fontId="5"/>
  </si>
  <si>
    <t>付与区分</t>
    <phoneticPr fontId="5"/>
  </si>
  <si>
    <t>No</t>
    <phoneticPr fontId="7"/>
  </si>
  <si>
    <t>設定なしの場合は「_NULL」</t>
    <phoneticPr fontId="5"/>
  </si>
  <si>
    <t>0：指定なし
-2,147,483,647 から 2,147,483,647 の範囲の整数</t>
    <phoneticPr fontId="5"/>
  </si>
  <si>
    <t>入荷通知メールに対応するかを設定します。
0：対応
1：非対応</t>
    <rPh sb="0" eb="4">
      <t>ニュウカツウチ</t>
    </rPh>
    <rPh sb="8" eb="10">
      <t>タイオウ</t>
    </rPh>
    <rPh sb="23" eb="25">
      <t>タイオウ</t>
    </rPh>
    <rPh sb="29" eb="31">
      <t>タイオウ</t>
    </rPh>
    <phoneticPr fontId="9"/>
  </si>
  <si>
    <t>登録時、下記の1または2の項目および組み合わせが必須　更新時変更不可
1.販売基本情報ID(または販売基本情報コード）＋バリエーション選択肢ID1,2,3（またはバリエーション選択肢コード1,2,3）
2.販売SKU コード</t>
    <rPh sb="37" eb="39">
      <t>ハンバイ</t>
    </rPh>
    <rPh sb="39" eb="41">
      <t>キホン</t>
    </rPh>
    <rPh sb="41" eb="43">
      <t>ジョウホウ</t>
    </rPh>
    <rPh sb="103" eb="105">
      <t>ハンバイ</t>
    </rPh>
    <phoneticPr fontId="9"/>
  </si>
  <si>
    <t>0：無制限　正数のみ</t>
    <phoneticPr fontId="5"/>
  </si>
  <si>
    <t>以下のいずれかを設定
10:通常税率（10%）(初期値)
8:軽減税率（8%）
0:非課税（0%）</t>
    <phoneticPr fontId="5"/>
  </si>
  <si>
    <t>価格への消費税率を設定します。
10:通常税率（10%）(初期値)
8:軽減税率（8%）
0:非課税（0%）</t>
    <phoneticPr fontId="5"/>
  </si>
  <si>
    <t>山田</t>
    <rPh sb="0" eb="2">
      <t>ヤマダ</t>
    </rPh>
    <phoneticPr fontId="5"/>
  </si>
  <si>
    <t>ヤマダ</t>
    <phoneticPr fontId="5"/>
  </si>
  <si>
    <t>shupark</t>
    <phoneticPr fontId="5"/>
  </si>
  <si>
    <t>[カスタム]商品タグ</t>
    <rPh sb="6" eb="8">
      <t>ショウヒン</t>
    </rPh>
    <phoneticPr fontId="9"/>
  </si>
  <si>
    <t>[カスタム]ブランド名</t>
    <phoneticPr fontId="5"/>
  </si>
  <si>
    <t>[カスタム]酒類フラグ</t>
    <phoneticPr fontId="5"/>
  </si>
  <si>
    <t>[カスタム]トップページ用商品概要</t>
    <phoneticPr fontId="5"/>
  </si>
  <si>
    <t>[カスタム]商品概要</t>
    <phoneticPr fontId="5"/>
  </si>
  <si>
    <t>酒類の場合：「対象」、酒類ではない場合：「対象外」</t>
    <phoneticPr fontId="5"/>
  </si>
  <si>
    <t>複数の場合は各タグを「|」区切りで連結して設定。
「送料無料」、「新着」、「定期便」、「数量限定商品」</t>
    <rPh sb="0" eb="2">
      <t>フクスウ</t>
    </rPh>
    <rPh sb="3" eb="5">
      <t>バアイ</t>
    </rPh>
    <rPh sb="6" eb="7">
      <t>カク</t>
    </rPh>
    <rPh sb="21" eb="23">
      <t>セッテイ</t>
    </rPh>
    <rPh sb="26" eb="28">
      <t>ソウリョウ</t>
    </rPh>
    <rPh sb="28" eb="30">
      <t>ムリョウ</t>
    </rPh>
    <rPh sb="33" eb="35">
      <t>シンチャク</t>
    </rPh>
    <rPh sb="38" eb="41">
      <t>テイキビン</t>
    </rPh>
    <rPh sb="44" eb="46">
      <t>スウリョウ</t>
    </rPh>
    <rPh sb="46" eb="48">
      <t>ゲンテイ</t>
    </rPh>
    <rPh sb="48" eb="50">
      <t>ショウヒン</t>
    </rPh>
    <phoneticPr fontId="5"/>
  </si>
  <si>
    <t>「|」区切りの全角</t>
    <phoneticPr fontId="5"/>
  </si>
  <si>
    <t>全角</t>
    <phoneticPr fontId="5"/>
  </si>
  <si>
    <t>〇：登録可能、×：登録不可、「必須」以外は項目削除が可能</t>
    <rPh sb="2" eb="4">
      <t>トウロク</t>
    </rPh>
    <rPh sb="4" eb="6">
      <t>カノウ</t>
    </rPh>
    <rPh sb="9" eb="11">
      <t>トウロク</t>
    </rPh>
    <rPh sb="11" eb="13">
      <t>フカ</t>
    </rPh>
    <rPh sb="15" eb="17">
      <t>ヒッス</t>
    </rPh>
    <rPh sb="18" eb="20">
      <t>イガイ</t>
    </rPh>
    <rPh sb="21" eb="23">
      <t>コウモク</t>
    </rPh>
    <rPh sb="23" eb="25">
      <t>サクジョ</t>
    </rPh>
    <rPh sb="26" eb="28">
      <t>カノウ</t>
    </rPh>
    <phoneticPr fontId="5"/>
  </si>
  <si>
    <t>対象</t>
    <rPh sb="0" eb="2">
      <t>タイショウ</t>
    </rPh>
    <phoneticPr fontId="5"/>
  </si>
  <si>
    <t>T1111</t>
    <phoneticPr fontId="5"/>
  </si>
  <si>
    <t>―</t>
    <phoneticPr fontId="5"/>
  </si>
  <si>
    <t>商品コードなどは移行用のコードで登録する。（プレフィックスを付ける）</t>
    <rPh sb="0" eb="2">
      <t>ショウヒン</t>
    </rPh>
    <rPh sb="8" eb="10">
      <t>イコウ</t>
    </rPh>
    <rPh sb="10" eb="11">
      <t>ヨウ</t>
    </rPh>
    <rPh sb="16" eb="18">
      <t>トウロク</t>
    </rPh>
    <rPh sb="30" eb="31">
      <t>ツ</t>
    </rPh>
    <phoneticPr fontId="5"/>
  </si>
  <si>
    <t>●商品データ</t>
    <rPh sb="1" eb="3">
      <t>ショウヒン</t>
    </rPh>
    <phoneticPr fontId="5"/>
  </si>
  <si>
    <t>配送温度帯ID</t>
    <phoneticPr fontId="5"/>
  </si>
  <si>
    <t>決済方法グループコード</t>
    <phoneticPr fontId="5"/>
  </si>
  <si>
    <t>配送方法グループコードや決済方法グループコードも移行用とする（例 旧サイト決済）</t>
    <rPh sb="24" eb="27">
      <t>イコウヨウ</t>
    </rPh>
    <rPh sb="31" eb="32">
      <t>レイ</t>
    </rPh>
    <phoneticPr fontId="5"/>
  </si>
  <si>
    <t>●ポイントデータ</t>
    <phoneticPr fontId="5"/>
  </si>
  <si>
    <t>シュパークでポイントが1ポイント以上ある会員は全員移行日のダミー注文を登録する</t>
    <rPh sb="16" eb="18">
      <t>イジョウ</t>
    </rPh>
    <rPh sb="20" eb="22">
      <t>カイイン</t>
    </rPh>
    <rPh sb="23" eb="25">
      <t>ゼンイン</t>
    </rPh>
    <rPh sb="25" eb="28">
      <t>イコウビ</t>
    </rPh>
    <rPh sb="32" eb="34">
      <t>チュウモン</t>
    </rPh>
    <rPh sb="35" eb="37">
      <t>トウロク</t>
    </rPh>
    <phoneticPr fontId="5"/>
  </si>
  <si>
    <t>「最終購入日から365日」の設定にするため、移行対象の会員には注文履歴が必要。</t>
    <rPh sb="14" eb="16">
      <t>セッテイ</t>
    </rPh>
    <rPh sb="22" eb="24">
      <t>イコウ</t>
    </rPh>
    <rPh sb="24" eb="26">
      <t>タイショウ</t>
    </rPh>
    <rPh sb="27" eb="29">
      <t>カイイン</t>
    </rPh>
    <rPh sb="31" eb="33">
      <t>チュウモン</t>
    </rPh>
    <rPh sb="33" eb="35">
      <t>リレキ</t>
    </rPh>
    <rPh sb="36" eb="38">
      <t>ヒツヨウ</t>
    </rPh>
    <phoneticPr fontId="5"/>
  </si>
  <si>
    <t>●コンテンツデータ</t>
    <phoneticPr fontId="5"/>
  </si>
  <si>
    <t>移行対象の記事が100件程度なので手動で登録する</t>
    <rPh sb="11" eb="12">
      <t>ケン</t>
    </rPh>
    <rPh sb="12" eb="14">
      <t>テイド</t>
    </rPh>
    <rPh sb="17" eb="19">
      <t>シュドウ</t>
    </rPh>
    <rPh sb="20" eb="22">
      <t>トウロク</t>
    </rPh>
    <phoneticPr fontId="5"/>
  </si>
  <si>
    <t>●注文データ</t>
    <rPh sb="1" eb="3">
      <t>チュウモン</t>
    </rPh>
    <phoneticPr fontId="5"/>
  </si>
  <si>
    <t>0：販売基本情報を同時作成しない</t>
    <rPh sb="9" eb="11">
      <t>ドウジ</t>
    </rPh>
    <rPh sb="11" eb="13">
      <t>サクセイ</t>
    </rPh>
    <phoneticPr fontId="9"/>
  </si>
  <si>
    <t>フロントで表示される商品名を設定する</t>
    <rPh sb="5" eb="7">
      <t>ヒョウジ</t>
    </rPh>
    <rPh sb="10" eb="12">
      <t>ショウヒン</t>
    </rPh>
    <rPh sb="12" eb="13">
      <t>メイ</t>
    </rPh>
    <rPh sb="14" eb="16">
      <t>セッテイ</t>
    </rPh>
    <phoneticPr fontId="5"/>
  </si>
  <si>
    <t>マスタとして管理する商品名を設定する</t>
    <rPh sb="6" eb="8">
      <t>カンリ</t>
    </rPh>
    <rPh sb="10" eb="12">
      <t>ショウヒン</t>
    </rPh>
    <rPh sb="12" eb="13">
      <t>メイ</t>
    </rPh>
    <rPh sb="14" eb="16">
      <t>セッテイ</t>
    </rPh>
    <phoneticPr fontId="5"/>
  </si>
  <si>
    <t>商品マスターコードと同じ値を登録する</t>
    <rPh sb="0" eb="2">
      <t>ショウヒン</t>
    </rPh>
    <rPh sb="10" eb="11">
      <t>オナ</t>
    </rPh>
    <rPh sb="12" eb="13">
      <t>アタイ</t>
    </rPh>
    <rPh sb="14" eb="16">
      <t>トウロク</t>
    </rPh>
    <phoneticPr fontId="5"/>
  </si>
  <si>
    <t>説明</t>
    <phoneticPr fontId="7"/>
  </si>
  <si>
    <t>shupark_item_csv01</t>
    <phoneticPr fontId="5"/>
  </si>
  <si>
    <t>シュパーク商品01CSV登録</t>
    <phoneticPr fontId="5"/>
  </si>
  <si>
    <t>登録しない場合は項目削除</t>
    <rPh sb="0" eb="2">
      <t>トウロク</t>
    </rPh>
    <rPh sb="5" eb="7">
      <t>バアイ</t>
    </rPh>
    <rPh sb="8" eb="12">
      <t>コウモクサクジョ</t>
    </rPh>
    <phoneticPr fontId="5"/>
  </si>
  <si>
    <t>シュパークCSV商品01</t>
    <phoneticPr fontId="5"/>
  </si>
  <si>
    <t>■商品登録について</t>
    <rPh sb="1" eb="3">
      <t>ショウヒン</t>
    </rPh>
    <rPh sb="3" eb="5">
      <t>トウロク</t>
    </rPh>
    <phoneticPr fontId="5"/>
  </si>
  <si>
    <t>下記の順番でCSVアップロードを行う</t>
    <rPh sb="0" eb="2">
      <t>カキ</t>
    </rPh>
    <rPh sb="3" eb="5">
      <t>ジュンバン</t>
    </rPh>
    <rPh sb="16" eb="17">
      <t>オコナ</t>
    </rPh>
    <phoneticPr fontId="5"/>
  </si>
  <si>
    <t>■会員登録について</t>
    <rPh sb="1" eb="3">
      <t>カイイン</t>
    </rPh>
    <rPh sb="3" eb="5">
      <t>トウロク</t>
    </rPh>
    <phoneticPr fontId="5"/>
  </si>
  <si>
    <t>　①商品マスタCSV　⇒　②販売基本情報登録CSV　⇒　③販売条件CSV</t>
    <phoneticPr fontId="5"/>
  </si>
  <si>
    <t>①商品マスタ登録</t>
    <rPh sb="6" eb="8">
      <t>トウロク</t>
    </rPh>
    <phoneticPr fontId="5"/>
  </si>
  <si>
    <t>②販売基本情報登録</t>
    <rPh sb="7" eb="9">
      <t>トウロク</t>
    </rPh>
    <phoneticPr fontId="5"/>
  </si>
  <si>
    <t>③販売条件登録</t>
    <rPh sb="5" eb="7">
      <t>トウロク</t>
    </rPh>
    <phoneticPr fontId="5"/>
  </si>
  <si>
    <t>　①会員CSV　⇒　②会員アドレス帳CSV　⇒　③会員ポイントCSV</t>
    <rPh sb="11" eb="13">
      <t>カイイン</t>
    </rPh>
    <rPh sb="25" eb="27">
      <t>カイイン</t>
    </rPh>
    <phoneticPr fontId="5"/>
  </si>
  <si>
    <t>　※ポイントについては注文完了情報が存在しないと付与されません</t>
    <rPh sb="11" eb="13">
      <t>チュウモン</t>
    </rPh>
    <rPh sb="13" eb="15">
      <t>カンリョウ</t>
    </rPh>
    <rPh sb="15" eb="17">
      <t>ジョウホウ</t>
    </rPh>
    <rPh sb="18" eb="20">
      <t>ソンザイ</t>
    </rPh>
    <rPh sb="24" eb="26">
      <t>フヨ</t>
    </rPh>
    <phoneticPr fontId="5"/>
  </si>
  <si>
    <t>※使用ポイントの履歴が必要の場合</t>
    <rPh sb="1" eb="3">
      <t>シヨウ</t>
    </rPh>
    <rPh sb="8" eb="10">
      <t>リレキ</t>
    </rPh>
    <rPh sb="11" eb="13">
      <t>ヒツヨウ</t>
    </rPh>
    <rPh sb="14" eb="16">
      <t>バアイ</t>
    </rPh>
    <phoneticPr fontId="5"/>
  </si>
  <si>
    <t>①会員新規登録</t>
    <rPh sb="1" eb="3">
      <t>カイイン</t>
    </rPh>
    <rPh sb="3" eb="5">
      <t>シンキ</t>
    </rPh>
    <rPh sb="5" eb="7">
      <t>トウロク</t>
    </rPh>
    <phoneticPr fontId="5"/>
  </si>
  <si>
    <t>②アドレス帳登録</t>
    <rPh sb="5" eb="6">
      <t>チョウ</t>
    </rPh>
    <rPh sb="6" eb="8">
      <t>トウロク</t>
    </rPh>
    <phoneticPr fontId="5"/>
  </si>
  <si>
    <t>③会員ポイント登録</t>
    <rPh sb="1" eb="3">
      <t>カイイン</t>
    </rPh>
    <rPh sb="7" eb="9">
      <t>トウロク</t>
    </rPh>
    <phoneticPr fontId="5"/>
  </si>
  <si>
    <t>xxxxx@makeshop.co.jp</t>
    <phoneticPr fontId="5"/>
  </si>
  <si>
    <t>バリエーションコードを設定。「xxxx」
設定なしの場合は項目削除または「_NULL」を設定</t>
    <rPh sb="11" eb="13">
      <t>セッテイ</t>
    </rPh>
    <rPh sb="29" eb="31">
      <t>コウモク</t>
    </rPh>
    <rPh sb="31" eb="33">
      <t>サクジョ</t>
    </rPh>
    <rPh sb="44" eb="46">
      <t>セッテイ</t>
    </rPh>
    <phoneticPr fontId="5"/>
  </si>
  <si>
    <t>更新のみ指定可。会員のパスワード再設定依頼メール送信可否（0:送信しない、1:送信する）。</t>
    <phoneticPr fontId="5"/>
  </si>
  <si>
    <t>固定値「shupark」または「eshop」を設定</t>
    <rPh sb="0" eb="3">
      <t>コテイチ</t>
    </rPh>
    <rPh sb="23" eb="25">
      <t>セッテイ</t>
    </rPh>
    <phoneticPr fontId="5"/>
  </si>
  <si>
    <t>migration-delivery-group</t>
    <phoneticPr fontId="5"/>
  </si>
  <si>
    <t>migration-pay-group</t>
    <phoneticPr fontId="5"/>
  </si>
  <si>
    <t>データ移行用配送グループコード「migration-delivery-group」を設定する</t>
    <rPh sb="3" eb="5">
      <t>イコウ</t>
    </rPh>
    <rPh sb="5" eb="6">
      <t>ヨウ</t>
    </rPh>
    <rPh sb="6" eb="8">
      <t>ハイソウ</t>
    </rPh>
    <rPh sb="42" eb="44">
      <t>セッテイ</t>
    </rPh>
    <phoneticPr fontId="5"/>
  </si>
  <si>
    <t>データ移行用決済方法グループコード「migration-pay-group」を設定する</t>
    <rPh sb="3" eb="5">
      <t>イコウ</t>
    </rPh>
    <rPh sb="5" eb="6">
      <t>ヨウ</t>
    </rPh>
    <rPh sb="6" eb="8">
      <t>ケッサイ</t>
    </rPh>
    <rPh sb="8" eb="10">
      <t>ホウホウ</t>
    </rPh>
    <rPh sb="39" eb="41">
      <t>セッテイ</t>
    </rPh>
    <phoneticPr fontId="5"/>
  </si>
  <si>
    <t>アドレス名を指定。例） "お届け先住所（"＋「名前（苗字）」＋「名前（名）」＋"）"</t>
    <rPh sb="9" eb="10">
      <t>レイ</t>
    </rPh>
    <rPh sb="14" eb="15">
      <t>トド</t>
    </rPh>
    <rPh sb="16" eb="17">
      <t>サキ</t>
    </rPh>
    <rPh sb="17" eb="19">
      <t>ジュウショ</t>
    </rPh>
    <phoneticPr fontId="5"/>
  </si>
  <si>
    <t>販売条件コード</t>
  </si>
  <si>
    <t>販売条件コード</t>
    <rPh sb="2" eb="4">
      <t>ジョウケン</t>
    </rPh>
    <phoneticPr fontId="9"/>
  </si>
  <si>
    <t>■注文履歴CSV項目</t>
    <rPh sb="1" eb="5">
      <t>チュウモンリレキ</t>
    </rPh>
    <phoneticPr fontId="5"/>
  </si>
  <si>
    <t>query.order.site_code</t>
  </si>
  <si>
    <t>query.order.user_login_group_id</t>
  </si>
  <si>
    <t>query.order.total_price</t>
  </si>
  <si>
    <t>query.order.tax_amount</t>
  </si>
  <si>
    <t>税額合計</t>
  </si>
  <si>
    <t>query.order.sub_total_price</t>
  </si>
  <si>
    <t>query.order.adjustment_price</t>
  </si>
  <si>
    <t>query.order.adjustment_price_tax_rate</t>
  </si>
  <si>
    <t>調整金額の税率</t>
  </si>
  <si>
    <t>調整金額の税区分ID</t>
  </si>
  <si>
    <t>query.order.payment_profile_code</t>
  </si>
  <si>
    <t>決済プロファイルコード</t>
  </si>
  <si>
    <t>query.order.payment_fee</t>
  </si>
  <si>
    <t>決済手数料</t>
  </si>
  <si>
    <t>query.order.payment_fee_tax_rate</t>
  </si>
  <si>
    <t>決済手数料の税率</t>
  </si>
  <si>
    <t>query.order.purchaser.name</t>
  </si>
  <si>
    <t>query.order.purchaser.name_read</t>
  </si>
  <si>
    <t>query.order.purchaser.email</t>
  </si>
  <si>
    <t>query.order.purchaser.tel</t>
  </si>
  <si>
    <t>購入者電話番号</t>
  </si>
  <si>
    <t>query.order.purchaser.zip</t>
  </si>
  <si>
    <t>購入者郵便番号</t>
  </si>
  <si>
    <t>query.order.purchaser.state</t>
  </si>
  <si>
    <t>query.order.purchaser.city</t>
  </si>
  <si>
    <t>購入者市区町村</t>
  </si>
  <si>
    <t>query.order.purchaser.street</t>
  </si>
  <si>
    <t>購入者町名・番地</t>
  </si>
  <si>
    <t>query.order.delivery_units[].manager_group_code</t>
  </si>
  <si>
    <t>query.order.delivery_units[].delivery_origin_code</t>
  </si>
  <si>
    <t>発送元コード</t>
  </si>
  <si>
    <t>query.order.delivery_units[].delivery_method_code</t>
  </si>
  <si>
    <t>配送方法コード</t>
  </si>
  <si>
    <t>query.order.delivery_units[].delivery_fee</t>
  </si>
  <si>
    <t>query.order.delivery_units[].base_delivery_fee</t>
  </si>
  <si>
    <t>基本配送料</t>
  </si>
  <si>
    <t>query.order.delivery_units[].delivery_fee_tax_rate</t>
  </si>
  <si>
    <t>配送料の税率</t>
  </si>
  <si>
    <t>query.order.delivery_units[].stock_allocated</t>
  </si>
  <si>
    <t>在庫引当フラグ</t>
  </si>
  <si>
    <t>query.order.delivery_units[].reciever.name</t>
  </si>
  <si>
    <t>query.order.delivery_units[].reciever.name_read</t>
  </si>
  <si>
    <t>query.order.delivery_units[].reciever.email</t>
  </si>
  <si>
    <t>受取人メールアドレス</t>
  </si>
  <si>
    <t>query.order.delivery_units[].reciever.tel</t>
  </si>
  <si>
    <t>受取人電話番号</t>
  </si>
  <si>
    <t>query.order.delivery_units[].reciever.zip</t>
  </si>
  <si>
    <t>受取人郵便番号</t>
  </si>
  <si>
    <t>query.order.delivery_units[].reciever.state</t>
  </si>
  <si>
    <t>query.order.delivery_units[].reciever.city</t>
  </si>
  <si>
    <t>受取人市区町村</t>
  </si>
  <si>
    <t>query.order.delivery_units[].reciever.street</t>
  </si>
  <si>
    <t>受取人町名・番地</t>
  </si>
  <si>
    <t>query.order.delivery_units[].skus[].sku_code</t>
  </si>
  <si>
    <t>query.order.delivery_units[].skus[].item_offer_code</t>
  </si>
  <si>
    <t>query.order.delivery_units[].skus[].sell_price</t>
  </si>
  <si>
    <t>query.order.delivery_units[].skus[].base_sell_price</t>
  </si>
  <si>
    <t>query.order.delivery_units[].skus[].tax_rate_sell_price</t>
  </si>
  <si>
    <t>販売価格の税率</t>
  </si>
  <si>
    <t>query.order.delivery_units[].skus[].tax_rounding_sell_price</t>
  </si>
  <si>
    <t>販売価格の税端数処理方法</t>
  </si>
  <si>
    <t>query.order.delivery_units[].skus[].amount</t>
  </si>
  <si>
    <t>数量</t>
  </si>
  <si>
    <t>変数</t>
    <rPh sb="0" eb="2">
      <t>ヘンスウ</t>
    </rPh>
    <phoneticPr fontId="5"/>
  </si>
  <si>
    <t>■注文履歴明細CSV項目</t>
    <rPh sb="1" eb="5">
      <t>チュウモンリレキ</t>
    </rPh>
    <rPh sb="5" eb="7">
      <t>メイサイ</t>
    </rPh>
    <phoneticPr fontId="5"/>
  </si>
  <si>
    <t>注文番号</t>
    <rPh sb="0" eb="4">
      <t>チュウモンバンゴウ</t>
    </rPh>
    <phoneticPr fontId="5"/>
  </si>
  <si>
    <t>注文明細番号</t>
    <rPh sb="0" eb="4">
      <t>チュウモンメイサイ</t>
    </rPh>
    <rPh sb="4" eb="6">
      <t>バンゴウ</t>
    </rPh>
    <phoneticPr fontId="5"/>
  </si>
  <si>
    <t>半角数字記号</t>
    <rPh sb="4" eb="6">
      <t>キゴウ</t>
    </rPh>
    <phoneticPr fontId="5"/>
  </si>
  <si>
    <t>サイトコードを設定。「shupark」または「eshop」</t>
    <phoneticPr fontId="9"/>
  </si>
  <si>
    <t>会員ID（メールアドレス）</t>
    <rPh sb="0" eb="2">
      <t>カイイン</t>
    </rPh>
    <phoneticPr fontId="5"/>
  </si>
  <si>
    <t>メールアドレスを想定。ユニークな値。</t>
    <rPh sb="8" eb="10">
      <t>ソウテイ</t>
    </rPh>
    <rPh sb="16" eb="17">
      <t>アタイ</t>
    </rPh>
    <phoneticPr fontId="5"/>
  </si>
  <si>
    <t>注文履歴CSVと注文履歴明細CSVを紐付けれられる値。ユニークな値。</t>
    <rPh sb="18" eb="20">
      <t>ヒモヅ</t>
    </rPh>
    <rPh sb="25" eb="26">
      <t>アタイ</t>
    </rPh>
    <phoneticPr fontId="5"/>
  </si>
  <si>
    <t>固定値「10」※税率10%</t>
    <rPh sb="0" eb="3">
      <t>コテイチ</t>
    </rPh>
    <rPh sb="8" eb="10">
      <t>ゼイリツ</t>
    </rPh>
    <phoneticPr fontId="5"/>
  </si>
  <si>
    <t>固定値「0」</t>
    <rPh sb="0" eb="3">
      <t>コテイチ</t>
    </rPh>
    <phoneticPr fontId="5"/>
  </si>
  <si>
    <t>固定値「migration-xxxxx」※データ移行用決済コード</t>
    <rPh sb="0" eb="3">
      <t>コテイチ</t>
    </rPh>
    <phoneticPr fontId="5"/>
  </si>
  <si>
    <t>固定値「migration-xxxxx」※データ移行用発行元コード</t>
    <rPh sb="0" eb="3">
      <t>コテイチ</t>
    </rPh>
    <rPh sb="27" eb="29">
      <t>ハッコウ</t>
    </rPh>
    <rPh sb="29" eb="30">
      <t>モト</t>
    </rPh>
    <phoneticPr fontId="5"/>
  </si>
  <si>
    <t>購入者建物名</t>
    <phoneticPr fontId="5"/>
  </si>
  <si>
    <t>query.order.purchaser.building</t>
    <phoneticPr fontId="5"/>
  </si>
  <si>
    <t>購入者会社名</t>
    <phoneticPr fontId="5"/>
  </si>
  <si>
    <t>query.order.purchaser.company</t>
    <phoneticPr fontId="5"/>
  </si>
  <si>
    <t>query.order.purchaser.company_read</t>
    <phoneticPr fontId="5"/>
  </si>
  <si>
    <t>購入者部署名</t>
    <phoneticPr fontId="5"/>
  </si>
  <si>
    <t>query.order.purchaser.company_division</t>
    <phoneticPr fontId="5"/>
  </si>
  <si>
    <t>購入者役職</t>
    <phoneticPr fontId="5"/>
  </si>
  <si>
    <t>query.order.purchaser.company_position</t>
    <phoneticPr fontId="5"/>
  </si>
  <si>
    <t>〇</t>
    <phoneticPr fontId="5"/>
  </si>
  <si>
    <t>query.order.delivery_units[].reciever.building</t>
    <phoneticPr fontId="5"/>
  </si>
  <si>
    <t>受取人建物名</t>
    <phoneticPr fontId="5"/>
  </si>
  <si>
    <t>受取人会社名</t>
    <phoneticPr fontId="5"/>
  </si>
  <si>
    <t>query.order.delivery_units[].reciever.company</t>
    <phoneticPr fontId="5"/>
  </si>
  <si>
    <t>query.order.delivery_units[].reciever.company_read</t>
    <phoneticPr fontId="5"/>
  </si>
  <si>
    <t>受取人部署名</t>
    <phoneticPr fontId="5"/>
  </si>
  <si>
    <t>query.order.delivery_units[].reciever.company_division</t>
    <phoneticPr fontId="5"/>
  </si>
  <si>
    <t>受取人役職</t>
    <phoneticPr fontId="5"/>
  </si>
  <si>
    <t>query.order.delivery_units[].reciever.company_position</t>
    <phoneticPr fontId="5"/>
  </si>
  <si>
    <t>購入者氏名（苗字）</t>
    <phoneticPr fontId="5"/>
  </si>
  <si>
    <t>購入者氏名（名）</t>
    <phoneticPr fontId="5"/>
  </si>
  <si>
    <t>受取人氏名（名）</t>
    <phoneticPr fontId="5"/>
  </si>
  <si>
    <t>受取人氏名（苗字）</t>
    <phoneticPr fontId="5"/>
  </si>
  <si>
    <t>query.order.delivery_units[].delivery_temperature_class_id</t>
    <phoneticPr fontId="5"/>
  </si>
  <si>
    <t>固定値「1」</t>
    <rPh sb="0" eb="3">
      <t>コテイチ</t>
    </rPh>
    <phoneticPr fontId="5"/>
  </si>
  <si>
    <t>固定値「migration-xxxxx」※データ移行用配送方法コード</t>
    <rPh sb="0" eb="3">
      <t>コテイチ</t>
    </rPh>
    <rPh sb="27" eb="29">
      <t>ハイソウ</t>
    </rPh>
    <rPh sb="29" eb="31">
      <t>ホウホウ</t>
    </rPh>
    <phoneticPr fontId="5"/>
  </si>
  <si>
    <t>配送料</t>
    <phoneticPr fontId="5"/>
  </si>
  <si>
    <t>配送料を設定</t>
    <rPh sb="4" eb="6">
      <t>セッテイ</t>
    </rPh>
    <phoneticPr fontId="5"/>
  </si>
  <si>
    <t>購入者都道府県</t>
    <phoneticPr fontId="5"/>
  </si>
  <si>
    <t>購入者メールアドレス</t>
    <phoneticPr fontId="5"/>
  </si>
  <si>
    <t>購入者のメールアドレスを設定</t>
  </si>
  <si>
    <t>受取人の氏名（苗字）を設定</t>
  </si>
  <si>
    <t>受取人の氏名（名）を設定</t>
  </si>
  <si>
    <t>受取人の氏名（カナ）（苗字）を設定</t>
  </si>
  <si>
    <t>受取人の氏名（カナ）（名）を設定</t>
  </si>
  <si>
    <t>受取人の電話番号を設定</t>
  </si>
  <si>
    <t>受取人の郵便番号を設定</t>
  </si>
  <si>
    <t>受取人の市区町村を設定</t>
  </si>
  <si>
    <t>受取人の町名・番地を設定</t>
  </si>
  <si>
    <t>受取人の建物名を設定</t>
  </si>
  <si>
    <t>受取人の会社名を設定</t>
  </si>
  <si>
    <t>受取人の会社名（カナ）を設定</t>
  </si>
  <si>
    <t>受取人の部署名を設定</t>
  </si>
  <si>
    <t>受取人の役職を設定</t>
  </si>
  <si>
    <t>受取人の都道府県名を設定</t>
    <rPh sb="8" eb="9">
      <t>メイ</t>
    </rPh>
    <phoneticPr fontId="5"/>
  </si>
  <si>
    <t>受取人都道府県名</t>
    <rPh sb="7" eb="8">
      <t>メイ</t>
    </rPh>
    <phoneticPr fontId="5"/>
  </si>
  <si>
    <t>購入者の氏名（苗字）を設定</t>
  </si>
  <si>
    <t>購入者の氏名（名）を設定</t>
  </si>
  <si>
    <t>購入者の氏名（カナ）（苗字）を設定</t>
  </si>
  <si>
    <t>購入者の氏名（カナ）（名）を設定</t>
  </si>
  <si>
    <t>購入者の電話番号を設定</t>
  </si>
  <si>
    <t>購入者の郵便番号を設定</t>
  </si>
  <si>
    <t>購入者の市区町村を設定</t>
  </si>
  <si>
    <t>購入者の町名・番地を設定</t>
  </si>
  <si>
    <t>購入者の建物名を設定</t>
  </si>
  <si>
    <t>購入者の会社名を設定</t>
  </si>
  <si>
    <t>購入者の会社名（カナ）を設定</t>
  </si>
  <si>
    <t>購入者の部署名を設定</t>
  </si>
  <si>
    <t>購入者の役職を設定</t>
  </si>
  <si>
    <t>購入者の都道府県名を設定</t>
    <rPh sb="8" eb="9">
      <t>メイ</t>
    </rPh>
    <phoneticPr fontId="5"/>
  </si>
  <si>
    <t>query.order.tax_type_id_adjustment_price</t>
    <phoneticPr fontId="5"/>
  </si>
  <si>
    <t>固定値「tax_type_standard]</t>
    <phoneticPr fontId="5"/>
  </si>
  <si>
    <t>半角数字</t>
    <phoneticPr fontId="5"/>
  </si>
  <si>
    <t>注文合計金額の税額合計。0以上の正数</t>
    <rPh sb="0" eb="4">
      <t>チュウモンゴウケイ</t>
    </rPh>
    <rPh sb="4" eb="6">
      <t>キンガク</t>
    </rPh>
    <rPh sb="7" eb="9">
      <t>ゼイガク</t>
    </rPh>
    <rPh sb="9" eb="11">
      <t>ゴウケイ</t>
    </rPh>
    <phoneticPr fontId="5"/>
  </si>
  <si>
    <t>配送料を設定。0以上の正数</t>
    <rPh sb="4" eb="6">
      <t>セッテイ</t>
    </rPh>
    <phoneticPr fontId="5"/>
  </si>
  <si>
    <t>商品マスターコードと同じ値を登録する</t>
    <phoneticPr fontId="5"/>
  </si>
  <si>
    <t>販売価格を設定する。0以上の正数</t>
    <rPh sb="0" eb="4">
      <t>ハンバイカカク</t>
    </rPh>
    <rPh sb="5" eb="7">
      <t>セッテイ</t>
    </rPh>
    <phoneticPr fontId="5"/>
  </si>
  <si>
    <t>購入数量を設定。0以上の正数</t>
    <rPh sb="0" eb="2">
      <t>コウニュウ</t>
    </rPh>
    <rPh sb="2" eb="4">
      <t>スウリョウ</t>
    </rPh>
    <rPh sb="5" eb="7">
      <t>セッテイ</t>
    </rPh>
    <phoneticPr fontId="5"/>
  </si>
  <si>
    <t>注文明細の番号を設定。0以上の正数。</t>
    <rPh sb="0" eb="2">
      <t>チュウモン</t>
    </rPh>
    <rPh sb="2" eb="4">
      <t>メイサイ</t>
    </rPh>
    <rPh sb="5" eb="7">
      <t>バンゴウ</t>
    </rPh>
    <rPh sb="8" eb="10">
      <t>セッテイ</t>
    </rPh>
    <phoneticPr fontId="5"/>
  </si>
  <si>
    <t>固定値「floor]</t>
    <rPh sb="0" eb="2">
      <t>コテイ</t>
    </rPh>
    <rPh sb="2" eb="3">
      <t>チ</t>
    </rPh>
    <phoneticPr fontId="5"/>
  </si>
  <si>
    <t>・</t>
    <phoneticPr fontId="5"/>
  </si>
  <si>
    <t>商品マスタCSV</t>
    <phoneticPr fontId="5"/>
  </si>
  <si>
    <t>販売基本情報CSV</t>
    <phoneticPr fontId="5"/>
  </si>
  <si>
    <t>販売条件CSV</t>
    <phoneticPr fontId="5"/>
  </si>
  <si>
    <t>会員CSV</t>
    <phoneticPr fontId="5"/>
  </si>
  <si>
    <t>会員アドレス帳CSV</t>
    <phoneticPr fontId="5"/>
  </si>
  <si>
    <t>注文履歴CSV</t>
    <phoneticPr fontId="5"/>
  </si>
  <si>
    <t>注文履歴明細CSV</t>
    <phoneticPr fontId="5"/>
  </si>
  <si>
    <t>会員ポイントCSV</t>
    <phoneticPr fontId="5"/>
  </si>
  <si>
    <t>■CEC管理画面からCSVアップロードするデータ</t>
    <rPh sb="4" eb="6">
      <t>カンリ</t>
    </rPh>
    <rPh sb="6" eb="8">
      <t>ガメン</t>
    </rPh>
    <phoneticPr fontId="5"/>
  </si>
  <si>
    <t>■フロント管理画面からCSVアップロードするデータ</t>
    <rPh sb="5" eb="9">
      <t>カンリガメン</t>
    </rPh>
    <phoneticPr fontId="5"/>
  </si>
  <si>
    <t>【基本方針】</t>
    <rPh sb="1" eb="5">
      <t>キホンホウシン</t>
    </rPh>
    <phoneticPr fontId="5"/>
  </si>
  <si>
    <t>[登録方法]</t>
    <rPh sb="1" eb="3">
      <t>トウロク</t>
    </rPh>
    <rPh sb="3" eb="5">
      <t>ホウホウ</t>
    </rPh>
    <phoneticPr fontId="5"/>
  </si>
  <si>
    <t>販売価格への消費税率を設定します。
10:通常税率（10%）
8:軽減税率（8%）
0:非課税（0%）</t>
    <rPh sb="0" eb="2">
      <t>ハンバイ</t>
    </rPh>
    <phoneticPr fontId="5"/>
  </si>
  <si>
    <t>order-100001</t>
    <phoneticPr fontId="5"/>
  </si>
  <si>
    <t>鈴木</t>
    <rPh sb="0" eb="2">
      <t>スズキ</t>
    </rPh>
    <phoneticPr fontId="5"/>
  </si>
  <si>
    <t>一朗</t>
    <rPh sb="0" eb="2">
      <t>イチロウ</t>
    </rPh>
    <phoneticPr fontId="5"/>
  </si>
  <si>
    <t>スズキ</t>
    <phoneticPr fontId="5"/>
  </si>
  <si>
    <t>イチロウ</t>
    <phoneticPr fontId="5"/>
  </si>
  <si>
    <t>受取人のメールアドレスを設定。なければ購入者メールアドレス</t>
    <phoneticPr fontId="5"/>
  </si>
  <si>
    <t>0311112222</t>
    <phoneticPr fontId="5"/>
  </si>
  <si>
    <t>08011112222</t>
    <phoneticPr fontId="5"/>
  </si>
  <si>
    <t>千代田３－２－１</t>
    <phoneticPr fontId="5"/>
  </si>
  <si>
    <t>ABCビル</t>
    <phoneticPr fontId="5"/>
  </si>
  <si>
    <t>ABC株式会社</t>
    <phoneticPr fontId="5"/>
  </si>
  <si>
    <t>エービーシーカブシキガイシャ</t>
    <phoneticPr fontId="5"/>
  </si>
  <si>
    <t>部長</t>
    <rPh sb="0" eb="2">
      <t>ブチョウ</t>
    </rPh>
    <phoneticPr fontId="5"/>
  </si>
  <si>
    <t>注文履歴明細CSV</t>
  </si>
  <si>
    <t>shupark_item_csv02</t>
    <phoneticPr fontId="5"/>
  </si>
  <si>
    <t>ハイフン半角数字</t>
    <phoneticPr fontId="5"/>
  </si>
  <si>
    <t>調整金額</t>
    <rPh sb="0" eb="2">
      <t>チョウセイ</t>
    </rPh>
    <rPh sb="2" eb="4">
      <t>キンガク</t>
    </rPh>
    <phoneticPr fontId="5"/>
  </si>
  <si>
    <t>文字列</t>
    <rPh sb="0" eb="3">
      <t>モジレツ</t>
    </rPh>
    <phoneticPr fontId="9"/>
  </si>
  <si>
    <t>ー</t>
    <phoneticPr fontId="9"/>
  </si>
  <si>
    <t>法人コード</t>
  </si>
  <si>
    <t>法人名</t>
  </si>
  <si>
    <t>法人名カナ</t>
  </si>
  <si>
    <t>法人認証キー</t>
  </si>
  <si>
    <t>利用開始日</t>
  </si>
  <si>
    <t>利用終了日</t>
  </si>
  <si>
    <t>ドメイン</t>
  </si>
  <si>
    <t>酒類商品表示不可フラグ</t>
  </si>
  <si>
    <t>0:表示可、1:表示不可</t>
    <rPh sb="2" eb="5">
      <t>ヒョウジカ</t>
    </rPh>
    <rPh sb="8" eb="12">
      <t>ヒョウジフカ</t>
    </rPh>
    <phoneticPr fontId="9"/>
  </si>
  <si>
    <t>ビール商品表示不可フラグ</t>
  </si>
  <si>
    <t>ギフト商品表示不可フラグ</t>
  </si>
  <si>
    <t>法人表示名</t>
    <rPh sb="2" eb="4">
      <t>ヒョウジ</t>
    </rPh>
    <rPh sb="4" eb="5">
      <t>メイ</t>
    </rPh>
    <phoneticPr fontId="7"/>
  </si>
  <si>
    <t>担当営業コード</t>
  </si>
  <si>
    <t>yyyy-MM-dd hh:MM:ss形式</t>
    <rPh sb="19" eb="21">
      <t>ケイシキ</t>
    </rPh>
    <phoneticPr fontId="9"/>
  </si>
  <si>
    <t>一意となる法人を特定するためのコード値。記号は半角ハイフン、半角アンダースコアのみ許容</t>
    <rPh sb="20" eb="22">
      <t>キゴウ</t>
    </rPh>
    <phoneticPr fontId="5"/>
  </si>
  <si>
    <t>文字種：第一水準漢字、第二水準漢字、ひらがな、カタカナ、英数字、一部記号（ダブルクォート、シングルクォート	、カンマ、クエスチョンマーク以外）を許容</t>
    <phoneticPr fontId="5"/>
  </si>
  <si>
    <t>全角カナを許容</t>
    <rPh sb="0" eb="2">
      <t>ゼンカク</t>
    </rPh>
    <rPh sb="5" eb="7">
      <t>キョヨウ</t>
    </rPh>
    <phoneticPr fontId="5"/>
  </si>
  <si>
    <t>ドメインを設定。EAT&amp;COUPON連携項目</t>
    <rPh sb="5" eb="7">
      <t>セッテイ</t>
    </rPh>
    <phoneticPr fontId="5"/>
  </si>
  <si>
    <t>担当営業コードを設定する</t>
    <rPh sb="0" eb="4">
      <t>タントウエイギョウ</t>
    </rPh>
    <rPh sb="8" eb="10">
      <t>セッテイ</t>
    </rPh>
    <phoneticPr fontId="5"/>
  </si>
  <si>
    <t>コード</t>
  </si>
  <si>
    <t>mg_002</t>
  </si>
  <si>
    <t>mg_003</t>
  </si>
  <si>
    <t>mg_004</t>
  </si>
  <si>
    <t>mg_005</t>
  </si>
  <si>
    <t>mg_006</t>
  </si>
  <si>
    <t>mg_007</t>
  </si>
  <si>
    <t>mg_008</t>
  </si>
  <si>
    <t>mg_009</t>
  </si>
  <si>
    <t>mg_010</t>
  </si>
  <si>
    <t>mg_011</t>
  </si>
  <si>
    <t>mg_012</t>
  </si>
  <si>
    <t>mg_013</t>
  </si>
  <si>
    <t>mg_014</t>
  </si>
  <si>
    <t>mg_015</t>
  </si>
  <si>
    <t>mg_016</t>
  </si>
  <si>
    <t>mg_017</t>
  </si>
  <si>
    <t>mg_018</t>
  </si>
  <si>
    <t>mg_019</t>
  </si>
  <si>
    <t>mg_020</t>
  </si>
  <si>
    <t>mg_021</t>
  </si>
  <si>
    <t>mg_022</t>
  </si>
  <si>
    <t>名前</t>
  </si>
  <si>
    <t>【eSHOP】通常会員</t>
  </si>
  <si>
    <t>【eSHOP】ヌーボー（旧ヌーボー非表示）</t>
  </si>
  <si>
    <t>【eSHOP】サッポログループ</t>
  </si>
  <si>
    <t>【eSHOP】社販管理者</t>
  </si>
  <si>
    <t>【eSHOP】サッポロビール企画部管理者</t>
  </si>
  <si>
    <t>【eSHOP】広域法人本部メンバー</t>
  </si>
  <si>
    <t>【eSHOP】シュパーク管理者</t>
  </si>
  <si>
    <t>【eSHOP】ワインマート管理者</t>
  </si>
  <si>
    <t>【eSHOP】ブルーシール管理者</t>
  </si>
  <si>
    <t>【eSHOP】神州一味噌管理者</t>
  </si>
  <si>
    <t>【eSHOP】ライオン管理者</t>
  </si>
  <si>
    <t>【eSHOP】新星苑管理者</t>
  </si>
  <si>
    <t>【eSHOP】【メルマガ不可】アルコール非表示</t>
  </si>
  <si>
    <t>【eSHOP】ブルーシール非表示（アイス・グッズ）</t>
  </si>
  <si>
    <t>【eSHOP】ブルシールアイスのみ表示</t>
  </si>
  <si>
    <t>【eSHOP】カップス(キューリグ)</t>
  </si>
  <si>
    <t>【eSHOP】りょうぜん道の駅</t>
  </si>
  <si>
    <t>【eSHOP】送客管理者</t>
  </si>
  <si>
    <t>【eSHOP】メルマガ不可</t>
  </si>
  <si>
    <t>【eSHOP】【イレギュラー】一時回訪用</t>
  </si>
  <si>
    <t>【eSHOP】AUTH　NG</t>
  </si>
  <si>
    <t>【eSHOP】特定購入１</t>
  </si>
  <si>
    <t>会員グループがある場合にコード値を設定する。※「(参考)eshop会員グループコード」シート</t>
    <rPh sb="0" eb="2">
      <t>カイイン</t>
    </rPh>
    <rPh sb="9" eb="11">
      <t>バアイ</t>
    </rPh>
    <rPh sb="15" eb="16">
      <t>チ</t>
    </rPh>
    <rPh sb="17" eb="19">
      <t>セッテイ</t>
    </rPh>
    <phoneticPr fontId="5"/>
  </si>
  <si>
    <t>法人の認証キーを設定する。重複不可。</t>
    <rPh sb="0" eb="2">
      <t>ホウジン</t>
    </rPh>
    <rPh sb="3" eb="5">
      <t>ニンショウ</t>
    </rPh>
    <rPh sb="8" eb="10">
      <t>セッテイ</t>
    </rPh>
    <phoneticPr fontId="5"/>
  </si>
  <si>
    <t>法人CSV</t>
    <phoneticPr fontId="5"/>
  </si>
  <si>
    <t>■法人CSV</t>
    <rPh sb="1" eb="3">
      <t>ホウジン</t>
    </rPh>
    <phoneticPr fontId="5"/>
  </si>
  <si>
    <t>■注文系APIを使って登録</t>
    <rPh sb="1" eb="4">
      <t>チュウモンケイ</t>
    </rPh>
    <rPh sb="8" eb="9">
      <t>ツカ</t>
    </rPh>
    <rPh sb="11" eb="13">
      <t>トウロク</t>
    </rPh>
    <phoneticPr fontId="5"/>
  </si>
  <si>
    <t>シュパーク</t>
    <phoneticPr fontId="5"/>
  </si>
  <si>
    <t>ファイル名</t>
    <rPh sb="4" eb="5">
      <t>メイ</t>
    </rPh>
    <phoneticPr fontId="5"/>
  </si>
  <si>
    <t>項目名</t>
    <rPh sb="0" eb="3">
      <t>コウモクメイ</t>
    </rPh>
    <phoneticPr fontId="5"/>
  </si>
  <si>
    <t>emailAddr</t>
    <phoneticPr fontId="5"/>
  </si>
  <si>
    <t>OrderCustomer.csv</t>
    <phoneticPr fontId="5"/>
  </si>
  <si>
    <t>PurchaseOrder.csv</t>
    <phoneticPr fontId="5"/>
  </si>
  <si>
    <t>totalPayment</t>
    <phoneticPr fontId="5"/>
  </si>
  <si>
    <t>OrderLine.csv</t>
    <phoneticPr fontId="5"/>
  </si>
  <si>
    <t>deliveryCharge</t>
    <phoneticPr fontId="5"/>
  </si>
  <si>
    <t>調整金額</t>
    <phoneticPr fontId="5"/>
  </si>
  <si>
    <t>discountPrice</t>
    <phoneticPr fontId="5"/>
  </si>
  <si>
    <t>taxの合算</t>
    <rPh sb="4" eb="6">
      <t>ガッサン</t>
    </rPh>
    <phoneticPr fontId="5"/>
  </si>
  <si>
    <t>linePriceの合算</t>
    <phoneticPr fontId="5"/>
  </si>
  <si>
    <t>lastName</t>
    <phoneticPr fontId="5"/>
  </si>
  <si>
    <t>firstName</t>
    <phoneticPr fontId="5"/>
  </si>
  <si>
    <t>lastNameKana</t>
    <phoneticPr fontId="5"/>
  </si>
  <si>
    <t>firstNameKana</t>
    <phoneticPr fontId="5"/>
  </si>
  <si>
    <t>Address.csv</t>
    <phoneticPr fontId="5"/>
  </si>
  <si>
    <t>tel</t>
    <phoneticPr fontId="5"/>
  </si>
  <si>
    <t>zipCode</t>
    <phoneticPr fontId="5"/>
  </si>
  <si>
    <t>pref</t>
    <phoneticPr fontId="5"/>
  </si>
  <si>
    <t>city</t>
    <phoneticPr fontId="5"/>
  </si>
  <si>
    <t>street</t>
    <phoneticPr fontId="5"/>
  </si>
  <si>
    <t>building</t>
    <phoneticPr fontId="5"/>
  </si>
  <si>
    <t>recipientlastname</t>
    <phoneticPr fontId="5"/>
  </si>
  <si>
    <t>recipientfirstname</t>
    <phoneticPr fontId="5"/>
  </si>
  <si>
    <t>recipientlastnamekana</t>
    <phoneticPr fontId="5"/>
  </si>
  <si>
    <t>recipientfirstnamekana</t>
    <phoneticPr fontId="5"/>
  </si>
  <si>
    <t>mailAddr</t>
    <phoneticPr fontId="5"/>
  </si>
  <si>
    <t>備考</t>
    <rPh sb="0" eb="2">
      <t>ビコウ</t>
    </rPh>
    <phoneticPr fontId="5"/>
  </si>
  <si>
    <t>OrderCustomer.orderedAddressIdと紐付く</t>
    <rPh sb="31" eb="33">
      <t>ヒモツ</t>
    </rPh>
    <phoneticPr fontId="5"/>
  </si>
  <si>
    <t>DeliveryOrder.addressIdと紐付く</t>
    <rPh sb="24" eb="26">
      <t>ヒモツ</t>
    </rPh>
    <phoneticPr fontId="5"/>
  </si>
  <si>
    <t>eshop</t>
    <phoneticPr fontId="5"/>
  </si>
  <si>
    <t>商品金額合計</t>
    <phoneticPr fontId="5"/>
  </si>
  <si>
    <t>注文金額合計</t>
    <phoneticPr fontId="5"/>
  </si>
  <si>
    <t>値引き合計</t>
    <phoneticPr fontId="5"/>
  </si>
  <si>
    <t>注文者氏名（姓）</t>
    <phoneticPr fontId="5"/>
  </si>
  <si>
    <t>注文者氏名（名）</t>
  </si>
  <si>
    <t>注文者氏名（名）</t>
    <phoneticPr fontId="5"/>
  </si>
  <si>
    <t>注文者カナ（姓）</t>
    <phoneticPr fontId="5"/>
  </si>
  <si>
    <t>注文者カナ（名）</t>
    <phoneticPr fontId="5"/>
  </si>
  <si>
    <t>注文者電話番号</t>
  </si>
  <si>
    <t>注文者郵便番号</t>
  </si>
  <si>
    <t>注文者都道府県</t>
  </si>
  <si>
    <t>注文者住所（郡市区）</t>
  </si>
  <si>
    <t>注文者住所（町名番地）</t>
  </si>
  <si>
    <t>[配送]送料合計</t>
    <phoneticPr fontId="5"/>
  </si>
  <si>
    <t>配送先電話番号</t>
  </si>
  <si>
    <t>配送先郵便番号</t>
  </si>
  <si>
    <t>配送先都道府県</t>
  </si>
  <si>
    <t>配送先住所（郡市区）</t>
  </si>
  <si>
    <t>配送先住所（町名番地）</t>
  </si>
  <si>
    <t>配送先住所（建物名等）</t>
  </si>
  <si>
    <t>配送先氏名（姓）</t>
  </si>
  <si>
    <t>配送先氏名（名）</t>
  </si>
  <si>
    <t>配送先カナ（姓）</t>
  </si>
  <si>
    <t>配送先カナ（名）</t>
  </si>
  <si>
    <t>exp_order.csv</t>
    <phoneticPr fontId="5"/>
  </si>
  <si>
    <t>内税＋外税</t>
    <rPh sb="0" eb="2">
      <t>ウチゼイ</t>
    </rPh>
    <rPh sb="3" eb="5">
      <t>ソトゼイ</t>
    </rPh>
    <phoneticPr fontId="5"/>
  </si>
  <si>
    <t>customer.csv</t>
    <phoneticPr fontId="5"/>
  </si>
  <si>
    <t>注文の会員番号</t>
    <phoneticPr fontId="5"/>
  </si>
  <si>
    <t>メールアドレス</t>
    <phoneticPr fontId="5"/>
  </si>
  <si>
    <t>taxRate</t>
    <phoneticPr fontId="5"/>
  </si>
  <si>
    <t>unitPrice</t>
    <phoneticPr fontId="5"/>
  </si>
  <si>
    <t xml:space="preserve">orderAmount </t>
    <phoneticPr fontId="5"/>
  </si>
  <si>
    <t>数量</t>
    <phoneticPr fontId="5"/>
  </si>
  <si>
    <t>税率</t>
    <phoneticPr fontId="5"/>
  </si>
  <si>
    <t>価格</t>
    <phoneticPr fontId="5"/>
  </si>
  <si>
    <t>※会員ポイントが1以上のユーザはダミー注文の作成が必要</t>
    <rPh sb="9" eb="11">
      <t>イジョウ</t>
    </rPh>
    <rPh sb="19" eb="21">
      <t>チュウモン</t>
    </rPh>
    <rPh sb="22" eb="24">
      <t>サクセイ</t>
    </rPh>
    <rPh sb="25" eb="27">
      <t>ヒツヨウ</t>
    </rPh>
    <phoneticPr fontId="5"/>
  </si>
  <si>
    <t>販売価格</t>
    <phoneticPr fontId="5"/>
  </si>
  <si>
    <t>reportPrice</t>
    <phoneticPr fontId="5"/>
  </si>
  <si>
    <t>通常価格</t>
    <phoneticPr fontId="5"/>
  </si>
  <si>
    <t>商品の単価を設定する。0以上の正数</t>
    <rPh sb="3" eb="5">
      <t>タンカ</t>
    </rPh>
    <rPh sb="6" eb="8">
      <t>セッテイ</t>
    </rPh>
    <phoneticPr fontId="5"/>
  </si>
  <si>
    <t>注文日</t>
    <rPh sb="0" eb="3">
      <t>チュウモンビ</t>
    </rPh>
    <phoneticPr fontId="5"/>
  </si>
  <si>
    <t>日付</t>
    <rPh sb="0" eb="2">
      <t>ヒヅケ</t>
    </rPh>
    <phoneticPr fontId="5"/>
  </si>
  <si>
    <t>orderDate</t>
    <phoneticPr fontId="5"/>
  </si>
  <si>
    <t>注文日</t>
    <rPh sb="2" eb="3">
      <t>ビ</t>
    </rPh>
    <phoneticPr fontId="5"/>
  </si>
  <si>
    <t>OrderId</t>
    <phoneticPr fontId="5"/>
  </si>
  <si>
    <t>orderId</t>
    <phoneticPr fontId="5"/>
  </si>
  <si>
    <t>orderLineId</t>
    <phoneticPr fontId="5"/>
  </si>
  <si>
    <t>明細番号</t>
    <phoneticPr fontId="5"/>
  </si>
  <si>
    <t>注文番号</t>
    <phoneticPr fontId="5"/>
  </si>
  <si>
    <t>商品オプショングループコードを設定。「xxxx」
不要なら項目削除</t>
    <rPh sb="25" eb="27">
      <t>フヨウ</t>
    </rPh>
    <rPh sb="29" eb="31">
      <t>コウモク</t>
    </rPh>
    <rPh sb="31" eb="33">
      <t>サクジョ</t>
    </rPh>
    <phoneticPr fontId="5"/>
  </si>
  <si>
    <t>注文日</t>
    <phoneticPr fontId="5"/>
  </si>
  <si>
    <t>2026-03-31T10:30:00+09:00</t>
    <phoneticPr fontId="5"/>
  </si>
  <si>
    <t>商品マスタの販売SKUコードと同じ値を登録する</t>
    <rPh sb="0" eb="2">
      <t>ショウヒン</t>
    </rPh>
    <rPh sb="6" eb="8">
      <t>ハンバイ</t>
    </rPh>
    <phoneticPr fontId="5"/>
  </si>
  <si>
    <t>ダミー注文データはフロントで表示されないように制御を追加する</t>
    <rPh sb="3" eb="5">
      <t>チュウモン</t>
    </rPh>
    <rPh sb="14" eb="16">
      <t>ヒョウジ</t>
    </rPh>
    <rPh sb="23" eb="25">
      <t>セイギョ</t>
    </rPh>
    <rPh sb="26" eb="28">
      <t>ツイカ</t>
    </rPh>
    <phoneticPr fontId="5"/>
  </si>
  <si>
    <t>カスタムカラムでダミー注文フラグを作成する</t>
    <rPh sb="11" eb="13">
      <t>チュウモン</t>
    </rPh>
    <rPh sb="17" eb="19">
      <t>サクセイ</t>
    </rPh>
    <phoneticPr fontId="5"/>
  </si>
  <si>
    <t>{</t>
  </si>
  <si>
    <t>}</t>
  </si>
  <si>
    <t xml:space="preserve">  "query": {</t>
  </si>
  <si>
    <t xml:space="preserve">    "filters": [</t>
  </si>
  <si>
    <t xml:space="preserve">      {</t>
  </si>
  <si>
    <t xml:space="preserve">        "operator": "and",</t>
  </si>
  <si>
    <t xml:space="preserve">        "filters": [</t>
  </si>
  <si>
    <t xml:space="preserve">          { "field": "order.custom.is_migration_dummy", "value": false }</t>
  </si>
  <si>
    <t xml:space="preserve">        ]</t>
  </si>
  <si>
    <t xml:space="preserve">      }</t>
  </si>
  <si>
    <t xml:space="preserve">    ]</t>
  </si>
  <si>
    <t xml:space="preserve">  }</t>
  </si>
  <si>
    <t>ポイントが1ポイント以上ある会員を抽出する</t>
    <rPh sb="10" eb="12">
      <t>イジョウ</t>
    </rPh>
    <rPh sb="14" eb="16">
      <t>カイイン</t>
    </rPh>
    <rPh sb="17" eb="19">
      <t>チュウシュツ</t>
    </rPh>
    <phoneticPr fontId="5"/>
  </si>
  <si>
    <t>抽出した会員にオークション注文APIでダミー商品でダミー注文を登録する</t>
    <rPh sb="0" eb="2">
      <t>チュウシュツ</t>
    </rPh>
    <rPh sb="4" eb="6">
      <t>カイイン</t>
    </rPh>
    <rPh sb="13" eb="15">
      <t>チュウモン</t>
    </rPh>
    <rPh sb="22" eb="24">
      <t>ショウヒン</t>
    </rPh>
    <rPh sb="28" eb="30">
      <t>チュウモン</t>
    </rPh>
    <rPh sb="31" eb="33">
      <t>トウロク</t>
    </rPh>
    <phoneticPr fontId="5"/>
  </si>
  <si>
    <t>※ダミー注文処理</t>
    <rPh sb="4" eb="8">
      <t>チュウモンショリ</t>
    </rPh>
    <phoneticPr fontId="5"/>
  </si>
  <si>
    <t>フロント注文履歴一覧の取得時にフラグを見て除くように改修を行う</t>
    <rPh sb="4" eb="6">
      <t>チュウモン</t>
    </rPh>
    <rPh sb="6" eb="8">
      <t>リレキ</t>
    </rPh>
    <rPh sb="8" eb="10">
      <t>イチラン</t>
    </rPh>
    <rPh sb="11" eb="14">
      <t>シュトクジ</t>
    </rPh>
    <rPh sb="19" eb="20">
      <t>ミ</t>
    </rPh>
    <rPh sb="21" eb="22">
      <t>ノゾ</t>
    </rPh>
    <rPh sb="26" eb="28">
      <t>カイシュウ</t>
    </rPh>
    <rPh sb="29" eb="30">
      <t>オコナ</t>
    </rPh>
    <phoneticPr fontId="5"/>
  </si>
  <si>
    <t xml:space="preserve">※会員ポイントCSVはメールアドレスから会員ID（シーケンス番号）に変換が必要。 </t>
    <rPh sb="20" eb="22">
      <t>カイイン</t>
    </rPh>
    <rPh sb="30" eb="32">
      <t>バンゴウ</t>
    </rPh>
    <rPh sb="34" eb="36">
      <t>ヘンカン</t>
    </rPh>
    <rPh sb="37" eb="39">
      <t>ヒツヨウ</t>
    </rPh>
    <phoneticPr fontId="5"/>
  </si>
  <si>
    <t>非表示</t>
    <phoneticPr fontId="5"/>
  </si>
  <si>
    <t>管理の注文ステータス変更APIでカスタムカラムのフラグを立てる</t>
    <rPh sb="0" eb="2">
      <t>カンリ</t>
    </rPh>
    <rPh sb="3" eb="5">
      <t>チュウモン</t>
    </rPh>
    <rPh sb="10" eb="12">
      <t>ヘンコウ</t>
    </rPh>
    <rPh sb="28" eb="29">
      <t>タ</t>
    </rPh>
    <phoneticPr fontId="5"/>
  </si>
  <si>
    <t>サイトIDを「2」または「3」を設定
暫定）2=shupark、3=eshopの想定</t>
    <rPh sb="16" eb="18">
      <t>セッテイ</t>
    </rPh>
    <rPh sb="19" eb="21">
      <t>ザンテイ</t>
    </rPh>
    <rPh sb="40" eb="42">
      <t>ソウテイ</t>
    </rPh>
    <phoneticPr fontId="5"/>
  </si>
  <si>
    <t>固定値「1」を設定 　（参考）1: 全員に表示</t>
    <rPh sb="0" eb="3">
      <t>コテイチ</t>
    </rPh>
    <rPh sb="7" eb="9">
      <t>セッテイ</t>
    </rPh>
    <rPh sb="12" eb="14">
      <t>サンコウ</t>
    </rPh>
    <phoneticPr fontId="9"/>
  </si>
  <si>
    <t>固定値「A1111」を設定 　（参考）A1111:全温度帯可</t>
    <rPh sb="0" eb="3">
      <t>コテイチ</t>
    </rPh>
    <rPh sb="11" eb="13">
      <t>セッテイ</t>
    </rPh>
    <phoneticPr fontId="9"/>
  </si>
  <si>
    <t>商品マスターコードと同じ値を登録する</t>
    <phoneticPr fontId="9"/>
  </si>
  <si>
    <t>会員の会員グループコードを指定します。「(参考)eshop会員グループコード」シート</t>
    <phoneticPr fontId="5"/>
  </si>
  <si>
    <t>移行用のキャンペーンコード。固定値（migration-shupark）</t>
    <rPh sb="0" eb="2">
      <t>イコウ</t>
    </rPh>
    <rPh sb="2" eb="3">
      <t>ヨウ</t>
    </rPh>
    <rPh sb="14" eb="17">
      <t>コテイチ</t>
    </rPh>
    <phoneticPr fontId="5"/>
  </si>
  <si>
    <t>固定値「C」を設定する</t>
    <rPh sb="0" eb="3">
      <t>コテイチ</t>
    </rPh>
    <rPh sb="7" eb="9">
      <t>セッテイ</t>
    </rPh>
    <phoneticPr fontId="5"/>
  </si>
  <si>
    <t>販売停止で登録「1：販売停止」</t>
    <rPh sb="0" eb="2">
      <t>ハンバイ</t>
    </rPh>
    <rPh sb="2" eb="4">
      <t>テイシ</t>
    </rPh>
    <rPh sb="5" eb="7">
      <t>トウロク</t>
    </rPh>
    <phoneticPr fontId="5"/>
  </si>
  <si>
    <t>固定値「1」を設定 　（参考）1：非表示</t>
    <phoneticPr fontId="5"/>
  </si>
  <si>
    <t>固定値「0」を指定。（参考） 0：お届け先</t>
    <rPh sb="7" eb="9">
      <t>シテイ</t>
    </rPh>
    <rPh sb="11" eb="13">
      <t>サンコウ</t>
    </rPh>
    <phoneticPr fontId="5"/>
  </si>
  <si>
    <t>商品コードにプレフィックス「mig_」を付けて設定する（SKU単位）ユニークな値。
例）mig_sku00001</t>
    <rPh sb="0" eb="2">
      <t>ショウヒン</t>
    </rPh>
    <rPh sb="20" eb="21">
      <t>ツ</t>
    </rPh>
    <rPh sb="23" eb="25">
      <t>セッテイ</t>
    </rPh>
    <rPh sb="31" eb="33">
      <t>タンイ</t>
    </rPh>
    <rPh sb="42" eb="43">
      <t>レイ</t>
    </rPh>
    <phoneticPr fontId="5"/>
  </si>
  <si>
    <t>オークション注文作成APIで登録する。</t>
    <rPh sb="6" eb="8">
      <t>チュウモン</t>
    </rPh>
    <rPh sb="8" eb="10">
      <t>サクセイ</t>
    </rPh>
    <rPh sb="14" eb="16">
      <t>トウロク</t>
    </rPh>
    <phoneticPr fontId="5"/>
  </si>
  <si>
    <t>　AWSのクラウドシェル上でDB経由でメアドとIDを変換してCSVを再作成など</t>
    <rPh sb="12" eb="13">
      <t>ジョウ</t>
    </rPh>
    <phoneticPr fontId="5"/>
  </si>
  <si>
    <t>　会員IDとメールアドレスをCSVダウンロードする。</t>
    <rPh sb="1" eb="3">
      <t>カイイン</t>
    </rPh>
    <phoneticPr fontId="5"/>
  </si>
  <si>
    <t>ダミー注文（会員ポイントCSV）</t>
    <rPh sb="3" eb="5">
      <t>チュウモン</t>
    </rPh>
    <rPh sb="6" eb="8">
      <t>カイイン</t>
    </rPh>
    <phoneticPr fontId="5"/>
  </si>
  <si>
    <t>会員登録後に発行されるシーケンス。暫定で「メールアドレス」を設定する
※会員登録後、メールアドレスと採番された会員IDを変換する</t>
    <rPh sb="0" eb="2">
      <t>カイイン</t>
    </rPh>
    <rPh sb="2" eb="5">
      <t>トウロクゴ</t>
    </rPh>
    <rPh sb="6" eb="8">
      <t>ハッコウ</t>
    </rPh>
    <rPh sb="17" eb="19">
      <t>ザンテイ</t>
    </rPh>
    <rPh sb="30" eb="32">
      <t>セッテイ</t>
    </rPh>
    <rPh sb="36" eb="38">
      <t>カイイン</t>
    </rPh>
    <rPh sb="38" eb="41">
      <t>トウロクゴ</t>
    </rPh>
    <rPh sb="50" eb="52">
      <t>サイバン</t>
    </rPh>
    <rPh sb="55" eb="57">
      <t>カイイン</t>
    </rPh>
    <rPh sb="60" eb="62">
      <t>ヘンカン</t>
    </rPh>
    <phoneticPr fontId="5"/>
  </si>
  <si>
    <t>注文合計金額の値引き金額を設定。マイナス（-）の値</t>
    <rPh sb="0" eb="2">
      <t>チュウモン</t>
    </rPh>
    <rPh sb="2" eb="4">
      <t>ゴウケイ</t>
    </rPh>
    <rPh sb="4" eb="6">
      <t>キンガク</t>
    </rPh>
    <rPh sb="7" eb="9">
      <t>ネビ</t>
    </rPh>
    <rPh sb="10" eb="12">
      <t>キンガク</t>
    </rPh>
    <rPh sb="13" eb="15">
      <t>セッテイ</t>
    </rPh>
    <rPh sb="24" eb="25">
      <t>アタイ</t>
    </rPh>
    <phoneticPr fontId="5"/>
  </si>
  <si>
    <t>数字14桁（yyyymmddhhmiss）</t>
    <rPh sb="0" eb="2">
      <t>スウジ</t>
    </rPh>
    <rPh sb="4" eb="5">
      <t>ケタ</t>
    </rPh>
    <phoneticPr fontId="5"/>
  </si>
  <si>
    <t>非表示</t>
    <rPh sb="0" eb="3">
      <t>ヒヒョウジ</t>
    </rPh>
    <phoneticPr fontId="5"/>
  </si>
  <si>
    <t>非表示で登録「1：非表示」</t>
    <rPh sb="0" eb="3">
      <t>ヒヒョウジ</t>
    </rPh>
    <rPh sb="4" eb="6">
      <t>トウロク</t>
    </rPh>
    <rPh sb="9" eb="12">
      <t>ヒヒョウジ</t>
    </rPh>
    <phoneticPr fontId="5"/>
  </si>
  <si>
    <t>備考</t>
  </si>
  <si>
    <t>法人表示名</t>
  </si>
  <si>
    <t>GMOメイクショップ</t>
  </si>
  <si>
    <t>ジーエムオーメイクショップ</t>
  </si>
  <si>
    <t>xxxxxxxx</t>
  </si>
  <si>
    <t>mg001</t>
  </si>
  <si>
    <t>makeshop.co.jp</t>
  </si>
  <si>
    <t>㈱GMOメイクショップ</t>
  </si>
  <si>
    <t>備考を設定する</t>
    <rPh sb="0" eb="2">
      <t>ビコウ</t>
    </rPh>
    <rPh sb="3" eb="5">
      <t>セッテイ</t>
    </rPh>
    <phoneticPr fontId="5"/>
  </si>
  <si>
    <t>migration-shupark</t>
    <phoneticPr fontId="5"/>
  </si>
  <si>
    <t>販売条件コード</t>
    <phoneticPr fontId="5"/>
  </si>
  <si>
    <t>非表示</t>
    <rPh sb="0" eb="3">
      <t>ヒヒョウジ</t>
    </rPh>
    <phoneticPr fontId="9"/>
  </si>
  <si>
    <t>管理グループコードを設定。「shupark」または「eshop-xxx」(テナント毎）</t>
    <rPh sb="41" eb="42">
      <t>ゴト</t>
    </rPh>
    <phoneticPr fontId="9"/>
  </si>
  <si>
    <t>管理グループコード「sp_common」を設定。</t>
    <phoneticPr fontId="9"/>
  </si>
  <si>
    <t>合計金額</t>
    <phoneticPr fontId="5"/>
  </si>
  <si>
    <t>注文合計金額。0以上の正数。税込み</t>
    <rPh sb="0" eb="4">
      <t>チュウモンゴウケイ</t>
    </rPh>
    <rPh sb="4" eb="6">
      <t>キンガク</t>
    </rPh>
    <rPh sb="14" eb="16">
      <t>ゼイコ</t>
    </rPh>
    <phoneticPr fontId="5"/>
  </si>
  <si>
    <t>商品の合計金額。0以上の正数。税込み</t>
    <rPh sb="0" eb="2">
      <t>ショウヒン</t>
    </rPh>
    <rPh sb="3" eb="5">
      <t>ゴウケイ</t>
    </rPh>
    <rPh sb="5" eb="7">
      <t>キンガク</t>
    </rPh>
    <phoneticPr fontId="5"/>
  </si>
  <si>
    <t>小計</t>
    <phoneticPr fontId="5"/>
  </si>
  <si>
    <t>購入者氏名カナ（苗字）</t>
    <phoneticPr fontId="5"/>
  </si>
  <si>
    <t>購入者氏名カナ（名）</t>
    <phoneticPr fontId="5"/>
  </si>
  <si>
    <t>購入者会社名カナ</t>
    <phoneticPr fontId="5"/>
  </si>
  <si>
    <t>受取人氏名カナ（苗字）</t>
    <phoneticPr fontId="5"/>
  </si>
  <si>
    <t>受取人氏名カナ（名）</t>
    <phoneticPr fontId="5"/>
  </si>
  <si>
    <t>受取人会社名カナ</t>
    <phoneticPr fontId="5"/>
  </si>
  <si>
    <t>sp_common</t>
    <phoneticPr fontId="5"/>
  </si>
  <si>
    <t>基本販売価格</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</si>
</sst>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sz val="6"/>
      <name val="游ゴシック"/>
      <family val="2"/>
      <charset val="128"/>
      <scheme val="minor"/>
    </font>
    <font>
      <sz val="11"/>
      <color theme="1"/>
      <name val="游ゴシック"/>
      <family val="2"/>
      <scheme val="minor"/>
    </font>
    <font>
      <sz val="6"/>
      <name val="游ゴシック"/>
      <family val="3"/>
      <charset val="128"/>
      <scheme val="minor"/>
    </font>
    <font>
      <sz val="11"/>
      <color theme="1"/>
      <name val="游ゴシック"/>
      <family val="3"/>
      <charset val="128"/>
      <scheme val="minor"/>
    </font>
    <font>
      <sz val="11"/>
      <color theme="1"/>
      <name val="Meiryo"/>
      <family val="2"/>
      <charset val="128"/>
    </font>
    <font>
      <sz val="10"/>
      <color theme="1"/>
      <name val="游ゴシック"/>
      <family val="3"/>
      <charset val="128"/>
      <scheme val="minor"/>
    </font>
    <font>
      <sz val="10"/>
      <name val="游ゴシック"/>
      <family val="3"/>
      <charset val="128"/>
      <scheme val="minor"/>
    </font>
    <font>
      <sz val="10"/>
      <color rgb="FFFF0000"/>
      <name val="游ゴシック"/>
      <family val="3"/>
      <charset val="128"/>
      <scheme val="minor"/>
    </font>
    <font>
      <sz val="10"/>
      <color theme="1"/>
      <name val="游ゴシック"/>
      <family val="2"/>
      <charset val="128"/>
      <scheme val="minor"/>
    </font>
    <font>
      <sz val="10"/>
      <color rgb="FF000000"/>
      <name val="游ゴシック"/>
      <family val="3"/>
      <charset val="128"/>
      <scheme val="minor"/>
    </font>
    <font>
      <sz val="11"/>
      <name val="Meiryo UI"/>
      <family val="2"/>
      <charset val="128"/>
    </font>
    <font>
      <b/>
      <sz val="14"/>
      <color theme="1"/>
      <name val="Meiryo UI"/>
      <family val="3"/>
      <charset val="128"/>
    </font>
    <font>
      <b/>
      <sz val="11"/>
      <color theme="1"/>
      <name val="Meiryo UI"/>
      <family val="3"/>
      <charset val="128"/>
    </font>
    <font>
      <sz val="11"/>
      <color rgb="FFFF0000"/>
      <name val="Meiryo UI"/>
      <family val="2"/>
      <charset val="128"/>
    </font>
    <font>
      <sz val="10"/>
      <color rgb="FF000000"/>
      <name val="游ゴシック"/>
      <family val="2"/>
      <scheme val="minor"/>
    </font>
    <font>
      <sz val="8"/>
      <color rgb="FF000000"/>
      <name val="Meiryo"/>
      <family val="3"/>
      <charset val="128"/>
    </font>
    <font>
      <sz val="9"/>
      <color rgb="FF000000"/>
      <name val="MS PGothic"/>
      <family val="3"/>
      <charset val="128"/>
    </font>
    <font>
      <sz val="9"/>
      <color theme="5"/>
      <name val="Inherit"/>
      <family val="2"/>
    </font>
    <font>
      <sz val="11"/>
      <color theme="0" tint="-0.499984740745262"/>
      <name val="Meiryo UI"/>
      <family val="2"/>
      <charset val="128"/>
    </font>
  </fonts>
  <fills count="9">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DBE5F1"/>
        <bgColor rgb="FFDBE5F1"/>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17">
    <xf numFmtId="0" fontId="0" fillId="0" borderId="0">
      <alignment vertical="center"/>
    </xf>
    <xf numFmtId="0" fontId="6" fillId="0" borderId="0">
      <alignment vertical="center"/>
    </xf>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10" fillId="0" borderId="0"/>
    <xf numFmtId="0" fontId="6" fillId="0" borderId="0">
      <alignment vertical="center"/>
    </xf>
    <xf numFmtId="0" fontId="11" fillId="0" borderId="0">
      <alignment vertical="center"/>
    </xf>
    <xf numFmtId="0" fontId="8" fillId="0" borderId="0"/>
    <xf numFmtId="0" fontId="4" fillId="0" borderId="0">
      <alignment vertical="center"/>
    </xf>
    <xf numFmtId="0" fontId="1" fillId="0" borderId="0">
      <alignment vertical="center"/>
    </xf>
    <xf numFmtId="0" fontId="21" fillId="0" borderId="0"/>
    <xf numFmtId="0" fontId="21" fillId="0" borderId="0"/>
  </cellStyleXfs>
  <cellXfs count="119">
    <xf numFmtId="0" fontId="0" fillId="0" borderId="0" xfId="0">
      <alignment vertical="center"/>
    </xf>
    <xf numFmtId="0" fontId="0" fillId="0" borderId="1" xfId="0" applyBorder="1">
      <alignment vertical="center"/>
    </xf>
    <xf numFmtId="14" fontId="0" fillId="0" borderId="1" xfId="0" applyNumberFormat="1" applyBorder="1">
      <alignment vertical="center"/>
    </xf>
    <xf numFmtId="22" fontId="0" fillId="0" borderId="1" xfId="0" applyNumberFormat="1" applyBorder="1">
      <alignment vertical="center"/>
    </xf>
    <xf numFmtId="49" fontId="0" fillId="0" borderId="1" xfId="0" applyNumberFormat="1" applyBorder="1">
      <alignment vertical="center"/>
    </xf>
    <xf numFmtId="49" fontId="0" fillId="0" borderId="0" xfId="0" applyNumberFormat="1">
      <alignment vertical="center"/>
    </xf>
    <xf numFmtId="0" fontId="0" fillId="0" borderId="0" xfId="0" quotePrefix="1">
      <alignment vertical="center"/>
    </xf>
    <xf numFmtId="0" fontId="12" fillId="0" borderId="0" xfId="1" applyFont="1">
      <alignment vertical="center"/>
    </xf>
    <xf numFmtId="0" fontId="12" fillId="0" borderId="0" xfId="1" applyFont="1" applyAlignment="1">
      <alignment horizontal="center" vertical="center"/>
    </xf>
    <xf numFmtId="0" fontId="12" fillId="0" borderId="0" xfId="1" applyFont="1" applyAlignment="1">
      <alignment vertical="center" wrapText="1"/>
    </xf>
    <xf numFmtId="0" fontId="13" fillId="0" borderId="1" xfId="1" applyFont="1" applyBorder="1" applyAlignment="1">
      <alignment horizontal="center" vertical="center"/>
    </xf>
    <xf numFmtId="3" fontId="13" fillId="0" borderId="1" xfId="2" applyNumberFormat="1" applyFont="1" applyBorder="1" applyAlignment="1">
      <alignment horizontal="left" vertical="center"/>
    </xf>
    <xf numFmtId="0" fontId="13" fillId="0" borderId="1" xfId="1" applyFont="1" applyBorder="1" applyAlignment="1">
      <alignment horizontal="center" vertical="center" wrapText="1"/>
    </xf>
    <xf numFmtId="0" fontId="13" fillId="0" borderId="1" xfId="1" applyFont="1" applyBorder="1" applyAlignment="1">
      <alignment horizontal="left" vertical="center" wrapText="1"/>
    </xf>
    <xf numFmtId="0" fontId="13" fillId="0" borderId="1" xfId="1" applyFont="1" applyBorder="1">
      <alignment vertical="center"/>
    </xf>
    <xf numFmtId="0" fontId="13" fillId="0" borderId="1" xfId="1" applyFont="1" applyBorder="1" applyAlignment="1">
      <alignment vertical="center" wrapText="1"/>
    </xf>
    <xf numFmtId="0" fontId="13" fillId="0" borderId="0" xfId="1" applyFont="1">
      <alignment vertical="center"/>
    </xf>
    <xf numFmtId="0" fontId="14" fillId="0" borderId="0" xfId="1" applyFont="1">
      <alignment vertical="center"/>
    </xf>
    <xf numFmtId="0" fontId="12" fillId="0" borderId="0" xfId="13" applyFont="1">
      <alignment vertical="center"/>
    </xf>
    <xf numFmtId="0" fontId="12" fillId="0" borderId="0" xfId="13" applyFont="1" applyAlignment="1">
      <alignment vertical="center" wrapText="1"/>
    </xf>
    <xf numFmtId="0" fontId="12" fillId="2" borderId="1" xfId="13" applyFont="1" applyFill="1" applyBorder="1" applyAlignment="1">
      <alignment horizontal="center" vertical="center"/>
    </xf>
    <xf numFmtId="0" fontId="12" fillId="2" borderId="1" xfId="13" applyFont="1" applyFill="1" applyBorder="1" applyAlignment="1">
      <alignment vertical="center" wrapText="1"/>
    </xf>
    <xf numFmtId="0" fontId="12" fillId="2" borderId="1" xfId="13" applyFont="1" applyFill="1" applyBorder="1" applyAlignment="1">
      <alignment horizontal="center" vertical="center" wrapText="1"/>
    </xf>
    <xf numFmtId="0" fontId="12" fillId="0" borderId="1" xfId="13" applyFont="1" applyBorder="1" applyAlignment="1">
      <alignment horizontal="center" vertical="center"/>
    </xf>
    <xf numFmtId="0" fontId="12" fillId="0" borderId="1" xfId="13" applyFont="1" applyBorder="1">
      <alignment vertical="center"/>
    </xf>
    <xf numFmtId="0" fontId="12" fillId="0" borderId="1" xfId="13" applyFont="1" applyBorder="1" applyAlignment="1">
      <alignment vertical="center" wrapText="1"/>
    </xf>
    <xf numFmtId="0" fontId="12" fillId="0" borderId="1" xfId="0" applyFont="1" applyBorder="1" applyAlignment="1">
      <alignment vertical="center" wrapText="1"/>
    </xf>
    <xf numFmtId="0" fontId="15" fillId="0" borderId="0" xfId="13" applyFont="1">
      <alignment vertical="center"/>
    </xf>
    <xf numFmtId="0" fontId="15" fillId="0" borderId="0" xfId="13" applyFont="1" applyAlignment="1">
      <alignment vertical="center" wrapText="1"/>
    </xf>
    <xf numFmtId="0" fontId="12" fillId="0" borderId="1" xfId="13" applyFont="1" applyBorder="1" applyAlignment="1">
      <alignment horizontal="center" vertical="center" wrapText="1"/>
    </xf>
    <xf numFmtId="0" fontId="12" fillId="0" borderId="5" xfId="13" applyFont="1" applyBorder="1" applyAlignment="1">
      <alignment vertical="center" wrapText="1"/>
    </xf>
    <xf numFmtId="3" fontId="13" fillId="0" borderId="1" xfId="12" applyNumberFormat="1" applyFont="1" applyBorder="1" applyAlignment="1">
      <alignment horizontal="left" vertical="center"/>
    </xf>
    <xf numFmtId="0" fontId="13" fillId="0" borderId="1" xfId="1" applyFont="1" applyBorder="1" applyAlignment="1">
      <alignment horizontal="left" vertical="top" wrapText="1"/>
    </xf>
    <xf numFmtId="0" fontId="12" fillId="2" borderId="1" xfId="1" applyFont="1" applyFill="1" applyBorder="1" applyAlignment="1">
      <alignment horizontal="center" vertical="center"/>
    </xf>
    <xf numFmtId="0" fontId="12" fillId="2" borderId="1" xfId="1" applyFont="1" applyFill="1" applyBorder="1" applyAlignment="1">
      <alignment horizontal="center" vertical="center" wrapText="1"/>
    </xf>
    <xf numFmtId="0" fontId="12" fillId="0" borderId="2" xfId="13" applyFont="1" applyBorder="1" applyAlignment="1">
      <alignment horizontal="center" vertical="center" wrapText="1"/>
    </xf>
    <xf numFmtId="0" fontId="12" fillId="0" borderId="4" xfId="13" applyFont="1" applyBorder="1" applyAlignment="1">
      <alignment horizontal="center" vertical="center" wrapText="1"/>
    </xf>
    <xf numFmtId="0" fontId="12" fillId="0" borderId="4" xfId="13" applyFont="1" applyBorder="1" applyAlignment="1">
      <alignment horizontal="center" vertical="center"/>
    </xf>
    <xf numFmtId="0" fontId="12" fillId="0" borderId="2" xfId="13" applyFont="1" applyBorder="1" applyAlignment="1">
      <alignment horizontal="center" vertical="center"/>
    </xf>
    <xf numFmtId="0" fontId="12" fillId="0" borderId="5" xfId="13" applyFont="1" applyBorder="1" applyAlignment="1">
      <alignment horizontal="center" vertical="center"/>
    </xf>
    <xf numFmtId="0" fontId="12" fillId="0" borderId="1" xfId="0" applyFont="1" applyBorder="1" applyAlignment="1">
      <alignment horizontal="center" vertical="center" wrapText="1"/>
    </xf>
    <xf numFmtId="0" fontId="12" fillId="0" borderId="1" xfId="1" applyFont="1" applyBorder="1" applyAlignment="1">
      <alignment horizontal="center" vertical="center"/>
    </xf>
    <xf numFmtId="0" fontId="12" fillId="0" borderId="1" xfId="1" applyFont="1" applyBorder="1" applyAlignment="1">
      <alignment horizontal="center" vertical="center" wrapText="1"/>
    </xf>
    <xf numFmtId="0" fontId="12" fillId="0" borderId="1" xfId="1" applyFont="1" applyBorder="1">
      <alignment vertical="center"/>
    </xf>
    <xf numFmtId="0" fontId="12" fillId="0" borderId="1" xfId="1" applyFont="1" applyBorder="1" applyAlignment="1">
      <alignment vertical="center" wrapText="1"/>
    </xf>
    <xf numFmtId="0" fontId="13" fillId="0" borderId="1" xfId="1" quotePrefix="1" applyFont="1" applyBorder="1" applyAlignment="1">
      <alignment horizontal="center" vertical="center"/>
    </xf>
    <xf numFmtId="0" fontId="12" fillId="0" borderId="0" xfId="1" applyFont="1" applyAlignment="1">
      <alignment horizontal="right" vertical="center"/>
    </xf>
    <xf numFmtId="0" fontId="16" fillId="0" borderId="1" xfId="0" applyFont="1" applyBorder="1">
      <alignment vertical="center"/>
    </xf>
    <xf numFmtId="3" fontId="13" fillId="2" borderId="1" xfId="2" applyNumberFormat="1" applyFont="1" applyFill="1" applyBorder="1" applyAlignment="1">
      <alignment horizontal="left" vertical="center"/>
    </xf>
    <xf numFmtId="0" fontId="13" fillId="2" borderId="1" xfId="1" applyFont="1" applyFill="1" applyBorder="1">
      <alignment vertical="center"/>
    </xf>
    <xf numFmtId="0" fontId="12" fillId="2" borderId="1" xfId="1" applyFont="1" applyFill="1" applyBorder="1">
      <alignment vertical="center"/>
    </xf>
    <xf numFmtId="0" fontId="16" fillId="2" borderId="1" xfId="0" applyFont="1" applyFill="1" applyBorder="1">
      <alignment vertical="center"/>
    </xf>
    <xf numFmtId="0" fontId="10" fillId="2" borderId="1" xfId="13" applyFont="1" applyFill="1" applyBorder="1" applyAlignment="1">
      <alignment vertical="center" wrapText="1"/>
    </xf>
    <xf numFmtId="0" fontId="10" fillId="2" borderId="1" xfId="0" applyFont="1" applyFill="1" applyBorder="1" applyAlignment="1">
      <alignment vertical="center" wrapText="1"/>
    </xf>
    <xf numFmtId="0" fontId="3" fillId="2" borderId="1" xfId="13" applyFont="1" applyFill="1" applyBorder="1">
      <alignment vertical="center"/>
    </xf>
    <xf numFmtId="0" fontId="4" fillId="2" borderId="1" xfId="13" applyFill="1" applyBorder="1">
      <alignment vertical="center"/>
    </xf>
    <xf numFmtId="0" fontId="2" fillId="2" borderId="1" xfId="13" applyFont="1" applyFill="1" applyBorder="1">
      <alignment vertical="center"/>
    </xf>
    <xf numFmtId="0" fontId="4" fillId="2" borderId="1" xfId="13" applyFill="1" applyBorder="1" applyAlignment="1">
      <alignment vertical="center" wrapText="1"/>
    </xf>
    <xf numFmtId="0" fontId="3" fillId="2" borderId="1" xfId="13" applyFont="1" applyFill="1" applyBorder="1" applyAlignment="1">
      <alignment vertical="center" wrapText="1"/>
    </xf>
    <xf numFmtId="0" fontId="17" fillId="0" borderId="1" xfId="0" applyFont="1" applyBorder="1">
      <alignment vertical="center"/>
    </xf>
    <xf numFmtId="3" fontId="13" fillId="2" borderId="1" xfId="12" applyNumberFormat="1" applyFont="1" applyFill="1" applyBorder="1" applyAlignment="1">
      <alignment horizontal="left" vertical="center"/>
    </xf>
    <xf numFmtId="0" fontId="18" fillId="0" borderId="0" xfId="0" applyFont="1">
      <alignment vertical="center"/>
    </xf>
    <xf numFmtId="0" fontId="14" fillId="0" borderId="1" xfId="1" applyFont="1" applyBorder="1" applyAlignment="1">
      <alignment horizontal="center" vertical="center" wrapText="1"/>
    </xf>
    <xf numFmtId="0" fontId="17" fillId="0" borderId="0" xfId="0" applyFont="1">
      <alignment vertical="center"/>
    </xf>
    <xf numFmtId="0" fontId="14" fillId="3" borderId="1" xfId="1" applyFont="1" applyFill="1" applyBorder="1" applyAlignment="1">
      <alignment vertical="center" wrapText="1"/>
    </xf>
    <xf numFmtId="0" fontId="14" fillId="3" borderId="1" xfId="1" applyFont="1" applyFill="1" applyBorder="1" applyAlignment="1">
      <alignment horizontal="left" vertical="center" wrapText="1"/>
    </xf>
    <xf numFmtId="0" fontId="14" fillId="0" borderId="1" xfId="13" applyFont="1" applyBorder="1" applyAlignment="1">
      <alignment horizontal="center" vertical="center" wrapText="1"/>
    </xf>
    <xf numFmtId="0" fontId="14" fillId="3" borderId="1" xfId="13" applyFont="1" applyFill="1" applyBorder="1" applyAlignment="1">
      <alignment vertical="center" wrapText="1"/>
    </xf>
    <xf numFmtId="0" fontId="12" fillId="0" borderId="3" xfId="13" applyFont="1" applyBorder="1" applyAlignment="1">
      <alignment horizontal="center" vertical="center"/>
    </xf>
    <xf numFmtId="0" fontId="13" fillId="0" borderId="1" xfId="13" applyFont="1" applyBorder="1" applyAlignment="1">
      <alignment vertical="center" wrapText="1"/>
    </xf>
    <xf numFmtId="0" fontId="12" fillId="4" borderId="1" xfId="13" applyFont="1" applyFill="1" applyBorder="1" applyAlignment="1">
      <alignment horizontal="center" vertical="center"/>
    </xf>
    <xf numFmtId="0" fontId="12" fillId="4" borderId="1" xfId="13" applyFont="1" applyFill="1" applyBorder="1">
      <alignment vertical="center"/>
    </xf>
    <xf numFmtId="0" fontId="12" fillId="4" borderId="3" xfId="13" applyFont="1" applyFill="1" applyBorder="1" applyAlignment="1">
      <alignment horizontal="center" vertical="center"/>
    </xf>
    <xf numFmtId="0" fontId="12" fillId="4" borderId="1" xfId="0" applyFont="1" applyFill="1" applyBorder="1" applyAlignment="1">
      <alignment horizontal="center" vertical="center" wrapText="1"/>
    </xf>
    <xf numFmtId="0" fontId="12" fillId="4" borderId="1" xfId="13" applyFont="1" applyFill="1" applyBorder="1" applyAlignment="1">
      <alignment vertical="center" wrapText="1"/>
    </xf>
    <xf numFmtId="0" fontId="13" fillId="4" borderId="1" xfId="13" applyFont="1" applyFill="1" applyBorder="1" applyAlignment="1">
      <alignment vertical="center" wrapText="1"/>
    </xf>
    <xf numFmtId="0" fontId="14" fillId="4" borderId="1" xfId="13" applyFont="1" applyFill="1" applyBorder="1" applyAlignment="1">
      <alignment vertical="center" wrapText="1"/>
    </xf>
    <xf numFmtId="0" fontId="0" fillId="0" borderId="0" xfId="0" applyAlignment="1">
      <alignment horizontal="right" vertical="center"/>
    </xf>
    <xf numFmtId="0" fontId="19" fillId="0" borderId="0" xfId="0" applyFont="1">
      <alignment vertical="center"/>
    </xf>
    <xf numFmtId="0" fontId="20" fillId="0" borderId="0" xfId="0" applyFont="1">
      <alignment vertical="center"/>
    </xf>
    <xf numFmtId="0" fontId="12" fillId="2" borderId="1" xfId="13" applyFont="1" applyFill="1" applyBorder="1">
      <alignment vertical="center"/>
    </xf>
    <xf numFmtId="0" fontId="10" fillId="2" borderId="1" xfId="13" applyFont="1" applyFill="1" applyBorder="1">
      <alignment vertical="center"/>
    </xf>
    <xf numFmtId="0" fontId="0" fillId="0" borderId="1" xfId="0" quotePrefix="1" applyBorder="1">
      <alignment vertical="center"/>
    </xf>
    <xf numFmtId="0" fontId="12" fillId="2" borderId="2" xfId="13" applyFont="1" applyFill="1" applyBorder="1" applyAlignment="1">
      <alignment horizontal="center" vertical="center" wrapText="1"/>
    </xf>
    <xf numFmtId="0" fontId="12" fillId="0" borderId="0" xfId="0" applyFont="1">
      <alignment vertical="center"/>
    </xf>
    <xf numFmtId="0" fontId="13" fillId="0" borderId="2" xfId="0" applyFont="1" applyBorder="1">
      <alignment vertical="center"/>
    </xf>
    <xf numFmtId="0" fontId="13" fillId="0" borderId="1" xfId="0" applyFont="1" applyBorder="1" applyAlignment="1">
      <alignment horizontal="center" vertical="center" wrapText="1"/>
    </xf>
    <xf numFmtId="0" fontId="13" fillId="0" borderId="1" xfId="0" applyFont="1" applyBorder="1" applyAlignment="1">
      <alignment horizontal="left" vertical="top" wrapText="1"/>
    </xf>
    <xf numFmtId="0" fontId="13" fillId="0" borderId="1" xfId="0" applyFont="1" applyBorder="1" applyAlignment="1">
      <alignment horizontal="left" vertical="center" wrapText="1"/>
    </xf>
    <xf numFmtId="0" fontId="13" fillId="0" borderId="1" xfId="0" applyFont="1" applyBorder="1" applyAlignment="1">
      <alignment horizontal="left" vertical="center"/>
    </xf>
    <xf numFmtId="0" fontId="22" fillId="0" borderId="0" xfId="16" applyFont="1"/>
    <xf numFmtId="0" fontId="21" fillId="0" borderId="0" xfId="16"/>
    <xf numFmtId="0" fontId="23" fillId="0" borderId="0" xfId="16" applyFont="1"/>
    <xf numFmtId="0" fontId="16" fillId="0" borderId="6" xfId="16" applyFont="1" applyBorder="1"/>
    <xf numFmtId="0" fontId="12" fillId="0" borderId="6" xfId="16" applyFont="1" applyBorder="1"/>
    <xf numFmtId="0" fontId="16" fillId="0" borderId="0" xfId="16" applyFont="1"/>
    <xf numFmtId="0" fontId="12" fillId="5" borderId="7" xfId="16" applyFont="1" applyFill="1" applyBorder="1" applyAlignment="1">
      <alignment horizontal="center" vertical="center"/>
    </xf>
    <xf numFmtId="0" fontId="12" fillId="5" borderId="8" xfId="16" applyFont="1" applyFill="1" applyBorder="1" applyAlignment="1">
      <alignment horizontal="center" vertical="center"/>
    </xf>
    <xf numFmtId="0" fontId="12" fillId="2" borderId="2" xfId="13" applyFont="1" applyFill="1" applyBorder="1" applyAlignment="1">
      <alignment vertical="center" wrapText="1"/>
    </xf>
    <xf numFmtId="0" fontId="12" fillId="6" borderId="1" xfId="13" applyFont="1" applyFill="1" applyBorder="1" applyAlignment="1">
      <alignment horizontal="center" vertical="center"/>
    </xf>
    <xf numFmtId="0" fontId="12" fillId="7" borderId="1" xfId="13" applyFont="1" applyFill="1" applyBorder="1" applyAlignment="1">
      <alignment horizontal="center" vertical="center"/>
    </xf>
    <xf numFmtId="0" fontId="12" fillId="0" borderId="1" xfId="0" applyFont="1" applyBorder="1" applyAlignment="1"/>
    <xf numFmtId="0" fontId="12" fillId="6" borderId="1" xfId="13" applyFont="1" applyFill="1" applyBorder="1">
      <alignment vertical="center"/>
    </xf>
    <xf numFmtId="0" fontId="12" fillId="7" borderId="1" xfId="13" applyFont="1" applyFill="1" applyBorder="1">
      <alignment vertical="center"/>
    </xf>
    <xf numFmtId="0" fontId="24" fillId="0" borderId="0" xfId="0" applyFont="1">
      <alignment vertical="center"/>
    </xf>
    <xf numFmtId="0" fontId="25" fillId="0" borderId="0" xfId="0" applyFont="1">
      <alignment vertical="center"/>
    </xf>
    <xf numFmtId="0" fontId="13" fillId="0" borderId="1" xfId="13" applyFont="1" applyBorder="1" applyAlignment="1">
      <alignment horizontal="center" vertical="center"/>
    </xf>
    <xf numFmtId="0" fontId="13" fillId="0" borderId="1" xfId="13" applyFont="1" applyBorder="1">
      <alignment vertical="center"/>
    </xf>
    <xf numFmtId="0" fontId="0" fillId="2" borderId="1" xfId="0" applyFill="1" applyBorder="1">
      <alignment vertical="center"/>
    </xf>
    <xf numFmtId="0" fontId="13" fillId="3" borderId="1" xfId="1" applyFont="1" applyFill="1" applyBorder="1" applyAlignment="1">
      <alignment horizontal="left" vertical="center" wrapText="1"/>
    </xf>
    <xf numFmtId="0" fontId="13" fillId="3" borderId="1" xfId="1" applyFont="1" applyFill="1" applyBorder="1" applyAlignment="1">
      <alignment vertical="center" wrapText="1"/>
    </xf>
    <xf numFmtId="0" fontId="0" fillId="8" borderId="0" xfId="0" applyFill="1">
      <alignment vertical="center"/>
    </xf>
    <xf numFmtId="0" fontId="0" fillId="8" borderId="0" xfId="0" applyFill="1" applyAlignment="1">
      <alignment horizontal="right" vertical="center"/>
    </xf>
    <xf numFmtId="0" fontId="12" fillId="6" borderId="2" xfId="13" applyFont="1" applyFill="1" applyBorder="1" applyAlignment="1">
      <alignment horizontal="center" vertical="center"/>
    </xf>
    <xf numFmtId="0" fontId="12" fillId="6" borderId="3" xfId="13" applyFont="1" applyFill="1" applyBorder="1" applyAlignment="1">
      <alignment horizontal="center" vertical="center"/>
    </xf>
    <xf numFmtId="0" fontId="12" fillId="7" borderId="2" xfId="13" applyFont="1" applyFill="1" applyBorder="1" applyAlignment="1">
      <alignment horizontal="center" vertical="center"/>
    </xf>
    <xf numFmtId="0" fontId="12" fillId="7" borderId="3" xfId="13" applyFont="1" applyFill="1" applyBorder="1" applyAlignment="1">
      <alignment horizontal="center" vertical="center"/>
    </xf>
    <xf numFmtId="0" fontId="12" fillId="6" borderId="1" xfId="13" applyFont="1" applyFill="1" applyBorder="1" applyAlignment="1">
      <alignment horizontal="center" vertical="center"/>
    </xf>
    <xf numFmtId="0" fontId="12" fillId="7" borderId="1" xfId="13" applyFont="1" applyFill="1" applyBorder="1" applyAlignment="1">
      <alignment horizontal="center" vertical="center"/>
    </xf>
  </cellXfs>
  <cellStyles count="17">
    <cellStyle name="標準" xfId="0" builtinId="0"/>
    <cellStyle name="標準 10" xfId="16" xr:uid="{678FC98B-EBB6-485E-9A8D-7FAADEDB9257}"/>
    <cellStyle name="標準 2" xfId="2" xr:uid="{FE899699-FDFA-4B9B-B075-4818575DEABF}"/>
    <cellStyle name="標準 2 2" xfId="9" xr:uid="{82597BD7-AFC0-4042-BBE3-5816E12D5DBE}"/>
    <cellStyle name="標準 2 2 2" xfId="12" xr:uid="{4DF3857A-DFDC-44A4-8482-0B789762AE42}"/>
    <cellStyle name="標準 2 3" xfId="7" xr:uid="{9A52CF69-656D-43E2-B4CA-C98FE29F55A7}"/>
    <cellStyle name="標準 3" xfId="1" xr:uid="{10F64949-2C9C-4B5C-B81C-BE9E88F8C1CF}"/>
    <cellStyle name="標準 3 2" xfId="10" xr:uid="{D32B00C9-6557-4059-8969-D776140F713C}"/>
    <cellStyle name="標準 3 2 2" xfId="11" xr:uid="{19872D2F-7F7D-4D60-9758-4B576C33C74C}"/>
    <cellStyle name="標準 3 3" xfId="8" xr:uid="{C72984F7-2F16-42DA-B376-1968E6B8DA2B}"/>
    <cellStyle name="標準 3 4" xfId="14" xr:uid="{4ABEDFA1-54CC-41E9-9B38-A2CFDD289E86}"/>
    <cellStyle name="標準 4" xfId="3" xr:uid="{01247573-BD0B-42E6-9179-236E12A2F910}"/>
    <cellStyle name="標準 5" xfId="4" xr:uid="{755595AB-5F86-4F01-8EC1-82AA78CDF4C4}"/>
    <cellStyle name="標準 6" xfId="5" xr:uid="{DCC3A876-04F0-4CED-9D56-323DD6274363}"/>
    <cellStyle name="標準 7" xfId="6" xr:uid="{B6F7AB17-E37D-485D-A5DE-67142EE9EA02}"/>
    <cellStyle name="標準 8" xfId="13" xr:uid="{0A953021-5ECF-41AD-B93E-E987B390A20B}"/>
    <cellStyle name="標準 9" xfId="15" xr:uid="{A3EBD695-C649-4DF6-AF34-A015577206AB}"/>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nanako\01-&#12503;&#12525;&#12472;&#12455;&#12463;&#12488;&#38306;&#36899;&#65288;&#65349;&#65314;&#65331;&#12289;&#65318;&#65326;&#65289;\Pub\Ptdev\&#12527;&#12540;&#12463;&#12501;&#12525;&#12540;\&#9322;&#25104;&#32004;&#26696;&#20214;\BMG&#12501;&#12449;&#12531;&#12495;&#12454;&#12473;\&#12486;&#12473;&#12488;\BMG&#12525;&#1246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mosc.sharepoint.com/niseko/sc_staff/ECS&#37096;/&#27161;&#28310;&#21270;/04%20&#12510;&#12540;&#12465;&#12486;&#12451;&#12531;&#12464;&#12511;&#12483;&#12463;&#12473;/01%20&#12510;&#12540;&#12465;&#12486;&#12451;&#12531;&#12464;%20&#35069;&#21697;/02%20&#38283;&#30330;&#27161;&#28310;&#21270;/A%20&#12503;&#12525;&#12472;&#12455;&#12463;&#12488;&#31649;&#29702;/A10%20&#35211;&#31309;&#12426;/&#27231;&#33021;&#19968;&#35239;_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moms-files03\sc_staff\gmoms-files03\&#21942;&#26989;&#37096;\&#25552;&#26696;\2021&#24180;&#24230;\&#31070;&#26126;&#12461;&#12483;&#12481;&#12531;\&#35211;&#31309;&#36039;&#26009;\20221024_&#29305;&#21830;&#27861;&#25913;&#27491;&#23550;&#24540;\&#35211;&#31309;EC&#12458;&#12522;&#12472;&#12531;_v0.9_2022110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gmoms-files01\personal\Ucardcard\SICdoc\temp\sst4C.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moms-files03\sc_all\CEC&#37096;\&#12503;&#12525;&#12472;&#12455;&#12463;&#12488;\011%20SSK\B%20&#35201;&#20214;&#23450;&#32681;\SSK&#27096;_&#12372;&#35201;&#26395;&#30906;&#35469;&#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機能一覧"/>
      <sheetName val="概算見積"/>
      <sheetName val="スケジュール"/>
      <sheetName val="設定"/>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本情報"/>
      <sheetName val="前提条件"/>
      <sheetName val="納品物一覧"/>
      <sheetName val="機能一覧"/>
      <sheetName val="要員計画"/>
    </sheetNames>
    <sheetDataSet>
      <sheetData sheetId="0"/>
      <sheetData sheetId="1" refreshError="1"/>
      <sheetData sheetId="2" refreshError="1"/>
      <sheetData sheetId="3" refreshError="1"/>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項目一覧"/>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追加要望一覧"/>
      <sheetName val="SSK様ご要望一覧"/>
      <sheetName val="SSK様追加ご要望一覧"/>
      <sheetName val="ご要望確認一覧"/>
      <sheetName val="追記していないSSK様追加ご要望一覧"/>
      <sheetName val="(old)フロント開発"/>
      <sheetName val="20230712_ご要望確認一覧"/>
      <sheetName val="20230711_ご要望確認一覧"/>
      <sheetName val="20230712_SSK様追加ご要望一覧"/>
      <sheetName val="キャンペーン設定"/>
    </sheetNames>
    <sheetDataSet>
      <sheetData sheetId="0"/>
      <sheetData sheetId="1"/>
      <sheetData sheetId="2"/>
      <sheetData sheetId="3"/>
      <sheetData sheetId="4" refreshError="1"/>
      <sheetData sheetId="5"/>
      <sheetData sheetId="6"/>
      <sheetData sheetId="7"/>
      <sheetData sheetId="8"/>
      <sheetData sheetId="9"/>
    </sheetDataSet>
  </externalBook>
</externalLink>
</file>

<file path=xl/theme/theme1.xml><?xml version="1.0" encoding="utf-8"?>
<a:theme xmlns:a="http://schemas.openxmlformats.org/drawingml/2006/main" name="Office テーマ">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F53C-4237-4E51-B0C0-6A5F7AF32078}">
  <dimension ref="B2:E56"/>
  <sheetViews>
    <sheetView tabSelected="1" topLeftCell="A12" workbookViewId="0">
      <selection activeCell="F25" sqref="F25"/>
    </sheetView>
  </sheetViews>
  <sheetFormatPr defaultRowHeight="15.75"/>
  <cols>
    <col min="1" max="1" width="5" customWidth="1"/>
    <col min="2" max="2" width="3.77734375" customWidth="1"/>
    <col min="3" max="4" width="5.109375" customWidth="1"/>
  </cols>
  <sheetData>
    <row r="2" spans="2:3" ht="19.5">
      <c r="B2" s="61" t="s">
        <v>469</v>
      </c>
    </row>
    <row r="3" spans="2:3">
      <c r="B3" t="s">
        <v>268</v>
      </c>
    </row>
    <row r="4" spans="2:3">
      <c r="C4" t="s">
        <v>267</v>
      </c>
    </row>
    <row r="5" spans="2:3">
      <c r="C5" t="s">
        <v>271</v>
      </c>
    </row>
    <row r="7" spans="2:3">
      <c r="B7" t="s">
        <v>272</v>
      </c>
    </row>
    <row r="8" spans="2:3">
      <c r="C8" t="s">
        <v>274</v>
      </c>
    </row>
    <row r="9" spans="2:3">
      <c r="C9" t="s">
        <v>273</v>
      </c>
    </row>
    <row r="10" spans="2:3">
      <c r="C10" t="s">
        <v>646</v>
      </c>
    </row>
    <row r="12" spans="2:3">
      <c r="B12" t="s">
        <v>275</v>
      </c>
    </row>
    <row r="13" spans="2:3">
      <c r="C13" t="s">
        <v>276</v>
      </c>
    </row>
    <row r="15" spans="2:3">
      <c r="B15" t="s">
        <v>277</v>
      </c>
    </row>
    <row r="16" spans="2:3">
      <c r="C16" t="s">
        <v>678</v>
      </c>
    </row>
    <row r="19" spans="2:3">
      <c r="B19" s="78" t="s">
        <v>470</v>
      </c>
    </row>
    <row r="20" spans="2:3">
      <c r="B20" t="s">
        <v>467</v>
      </c>
    </row>
    <row r="21" spans="2:3">
      <c r="B21" s="77" t="s">
        <v>458</v>
      </c>
      <c r="C21" t="s">
        <v>459</v>
      </c>
    </row>
    <row r="22" spans="2:3">
      <c r="B22" s="77" t="s">
        <v>458</v>
      </c>
      <c r="C22" t="s">
        <v>460</v>
      </c>
    </row>
    <row r="23" spans="2:3">
      <c r="B23" s="77" t="s">
        <v>458</v>
      </c>
      <c r="C23" t="s">
        <v>461</v>
      </c>
    </row>
    <row r="24" spans="2:3">
      <c r="B24" s="77" t="s">
        <v>458</v>
      </c>
      <c r="C24" t="s">
        <v>462</v>
      </c>
    </row>
    <row r="25" spans="2:3">
      <c r="B25" s="77" t="s">
        <v>458</v>
      </c>
      <c r="C25" t="s">
        <v>463</v>
      </c>
    </row>
    <row r="26" spans="2:3">
      <c r="B26" s="77" t="s">
        <v>458</v>
      </c>
      <c r="C26" t="s">
        <v>466</v>
      </c>
    </row>
    <row r="27" spans="2:3">
      <c r="B27" s="77"/>
      <c r="C27" s="79" t="s">
        <v>664</v>
      </c>
    </row>
    <row r="28" spans="2:3">
      <c r="B28" s="77"/>
      <c r="C28" s="105" t="s">
        <v>680</v>
      </c>
    </row>
    <row r="29" spans="2:3">
      <c r="B29" s="77"/>
      <c r="C29" s="105" t="s">
        <v>679</v>
      </c>
    </row>
    <row r="30" spans="2:3">
      <c r="B30" s="77"/>
    </row>
    <row r="31" spans="2:3">
      <c r="B31" s="111" t="s">
        <v>468</v>
      </c>
      <c r="C31" s="111"/>
    </row>
    <row r="32" spans="2:3">
      <c r="B32" s="112" t="s">
        <v>458</v>
      </c>
      <c r="C32" s="111" t="s">
        <v>557</v>
      </c>
    </row>
    <row r="33" spans="2:5">
      <c r="B33" s="77"/>
    </row>
    <row r="34" spans="2:5">
      <c r="B34" t="s">
        <v>559</v>
      </c>
    </row>
    <row r="35" spans="2:5">
      <c r="B35" s="77" t="s">
        <v>458</v>
      </c>
      <c r="C35" t="s">
        <v>464</v>
      </c>
    </row>
    <row r="36" spans="2:5">
      <c r="B36" s="77" t="s">
        <v>458</v>
      </c>
      <c r="C36" t="s">
        <v>465</v>
      </c>
    </row>
    <row r="37" spans="2:5">
      <c r="B37" s="77" t="s">
        <v>458</v>
      </c>
      <c r="C37" t="s">
        <v>681</v>
      </c>
    </row>
    <row r="38" spans="2:5">
      <c r="C38" s="79" t="s">
        <v>628</v>
      </c>
    </row>
    <row r="39" spans="2:5">
      <c r="C39" t="s">
        <v>662</v>
      </c>
    </row>
    <row r="40" spans="2:5">
      <c r="C40" s="77" t="s">
        <v>458</v>
      </c>
      <c r="D40" t="s">
        <v>647</v>
      </c>
    </row>
    <row r="41" spans="2:5">
      <c r="C41" s="77" t="s">
        <v>458</v>
      </c>
      <c r="D41" t="s">
        <v>660</v>
      </c>
    </row>
    <row r="42" spans="2:5">
      <c r="C42" s="77" t="s">
        <v>458</v>
      </c>
      <c r="D42" t="s">
        <v>661</v>
      </c>
    </row>
    <row r="43" spans="2:5">
      <c r="C43" s="77" t="s">
        <v>458</v>
      </c>
      <c r="D43" t="s">
        <v>666</v>
      </c>
    </row>
    <row r="44" spans="2:5">
      <c r="C44" s="77" t="s">
        <v>458</v>
      </c>
      <c r="D44" t="s">
        <v>663</v>
      </c>
    </row>
    <row r="45" spans="2:5">
      <c r="E45" s="104" t="s">
        <v>648</v>
      </c>
    </row>
    <row r="46" spans="2:5">
      <c r="E46" s="104" t="s">
        <v>650</v>
      </c>
    </row>
    <row r="47" spans="2:5">
      <c r="E47" s="104" t="s">
        <v>651</v>
      </c>
    </row>
    <row r="48" spans="2:5">
      <c r="E48" s="104" t="s">
        <v>652</v>
      </c>
    </row>
    <row r="49" spans="5:5">
      <c r="E49" s="104" t="s">
        <v>653</v>
      </c>
    </row>
    <row r="50" spans="5:5">
      <c r="E50" s="104" t="s">
        <v>654</v>
      </c>
    </row>
    <row r="51" spans="5:5">
      <c r="E51" s="104" t="s">
        <v>655</v>
      </c>
    </row>
    <row r="52" spans="5:5">
      <c r="E52" s="104" t="s">
        <v>656</v>
      </c>
    </row>
    <row r="53" spans="5:5">
      <c r="E53" s="104" t="s">
        <v>657</v>
      </c>
    </row>
    <row r="54" spans="5:5">
      <c r="E54" s="104" t="s">
        <v>658</v>
      </c>
    </row>
    <row r="55" spans="5:5">
      <c r="E55" s="104" t="s">
        <v>659</v>
      </c>
    </row>
    <row r="56" spans="5:5">
      <c r="E56" s="104" t="s">
        <v>649</v>
      </c>
    </row>
  </sheetData>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473D4-0882-4645-BC73-DB6D09D6ABC6}">
  <dimension ref="B2:AO62"/>
  <sheetViews>
    <sheetView zoomScale="80" zoomScaleNormal="80" workbookViewId="0">
      <selection activeCell="B51" sqref="B51"/>
    </sheetView>
  </sheetViews>
  <sheetFormatPr defaultRowHeight="15.75"/>
  <cols>
    <col min="1" max="1" width="2.77734375" customWidth="1"/>
    <col min="2" max="2" width="11.6640625" customWidth="1"/>
    <col min="3" max="3" width="28.5546875" customWidth="1"/>
    <col min="4" max="4" width="22.44140625" bestFit="1" customWidth="1"/>
    <col min="5" max="5" width="24.109375" customWidth="1"/>
    <col min="6" max="6" width="22" customWidth="1"/>
    <col min="7" max="7" width="27.5546875" customWidth="1"/>
    <col min="8" max="8" width="24.88671875" bestFit="1" customWidth="1"/>
    <col min="9" max="9" width="17" customWidth="1"/>
    <col min="10" max="10" width="11.109375" customWidth="1"/>
    <col min="11" max="11" width="12.21875" customWidth="1"/>
    <col min="13" max="13" width="14.44140625" customWidth="1"/>
    <col min="14" max="14" width="15.21875" customWidth="1"/>
    <col min="15" max="15" width="17.109375" customWidth="1"/>
    <col min="17" max="17" width="12.77734375" customWidth="1"/>
    <col min="18" max="18" width="15.33203125" customWidth="1"/>
    <col min="22" max="22" width="15.77734375" customWidth="1"/>
    <col min="23" max="23" width="12.44140625" bestFit="1" customWidth="1"/>
    <col min="24" max="24" width="21.33203125" bestFit="1" customWidth="1"/>
    <col min="26" max="26" width="11" customWidth="1"/>
    <col min="27" max="27" width="23" customWidth="1"/>
    <col min="28" max="28" width="20.6640625" customWidth="1"/>
    <col min="29" max="29" width="25.21875" customWidth="1"/>
    <col min="30" max="30" width="16.109375" customWidth="1"/>
    <col min="31" max="31" width="17.88671875" customWidth="1"/>
    <col min="34" max="34" width="12.6640625" customWidth="1"/>
    <col min="35" max="35" width="12.109375" customWidth="1"/>
    <col min="36" max="36" width="13.21875" customWidth="1"/>
  </cols>
  <sheetData>
    <row r="2" spans="2:9">
      <c r="B2" t="s">
        <v>287</v>
      </c>
    </row>
    <row r="3" spans="2:9">
      <c r="B3" t="s">
        <v>288</v>
      </c>
    </row>
    <row r="4" spans="2:9">
      <c r="B4" t="s">
        <v>290</v>
      </c>
    </row>
    <row r="6" spans="2:9">
      <c r="B6" t="s">
        <v>291</v>
      </c>
    </row>
    <row r="7" spans="2:9" ht="16.5">
      <c r="B7" s="48" t="s">
        <v>9</v>
      </c>
      <c r="C7" s="48" t="s">
        <v>15</v>
      </c>
      <c r="D7" s="48" t="s">
        <v>17</v>
      </c>
      <c r="E7" s="49" t="s">
        <v>66</v>
      </c>
    </row>
    <row r="8" spans="2:9">
      <c r="B8" s="1" t="s">
        <v>215</v>
      </c>
      <c r="C8" s="1" t="s">
        <v>283</v>
      </c>
      <c r="D8" s="1" t="s">
        <v>284</v>
      </c>
      <c r="E8" s="1" t="s">
        <v>711</v>
      </c>
    </row>
    <row r="11" spans="2:9">
      <c r="B11" t="s">
        <v>292</v>
      </c>
    </row>
    <row r="12" spans="2:9" ht="16.5">
      <c r="B12" s="48" t="s">
        <v>9</v>
      </c>
      <c r="C12" s="48" t="s">
        <v>28</v>
      </c>
      <c r="D12" s="48" t="s">
        <v>39</v>
      </c>
      <c r="E12" s="49" t="s">
        <v>24</v>
      </c>
      <c r="F12" s="50" t="s">
        <v>83</v>
      </c>
      <c r="G12" s="50" t="s">
        <v>698</v>
      </c>
      <c r="H12" s="50" t="s">
        <v>30</v>
      </c>
      <c r="I12" s="51" t="s">
        <v>256</v>
      </c>
    </row>
    <row r="13" spans="2:9">
      <c r="B13" s="1" t="s">
        <v>215</v>
      </c>
      <c r="C13" s="1" t="s">
        <v>283</v>
      </c>
      <c r="D13" s="1" t="s">
        <v>286</v>
      </c>
      <c r="E13" s="1" t="s">
        <v>711</v>
      </c>
      <c r="F13" s="1">
        <v>1</v>
      </c>
      <c r="G13" s="1">
        <v>1</v>
      </c>
      <c r="H13" s="1">
        <v>2</v>
      </c>
      <c r="I13" s="1" t="s">
        <v>264</v>
      </c>
    </row>
    <row r="16" spans="2:9">
      <c r="B16" t="s">
        <v>293</v>
      </c>
    </row>
    <row r="17" spans="2:31" ht="16.5">
      <c r="B17" s="48" t="s">
        <v>9</v>
      </c>
      <c r="C17" s="49" t="s">
        <v>24</v>
      </c>
      <c r="D17" s="60" t="s">
        <v>28</v>
      </c>
      <c r="E17" s="60" t="s">
        <v>310</v>
      </c>
      <c r="F17" s="49" t="s">
        <v>70</v>
      </c>
      <c r="G17" s="48" t="s">
        <v>665</v>
      </c>
      <c r="H17" s="49" t="s">
        <v>79</v>
      </c>
      <c r="I17" s="49" t="s">
        <v>270</v>
      </c>
      <c r="J17" s="49" t="s">
        <v>33</v>
      </c>
      <c r="K17" s="49" t="s">
        <v>269</v>
      </c>
      <c r="L17" s="49" t="s">
        <v>60</v>
      </c>
      <c r="M17" s="49" t="s">
        <v>80</v>
      </c>
    </row>
    <row r="18" spans="2:31">
      <c r="B18" s="59" t="s">
        <v>215</v>
      </c>
      <c r="C18" s="1" t="s">
        <v>711</v>
      </c>
      <c r="D18" s="1" t="s">
        <v>283</v>
      </c>
      <c r="E18" s="1" t="s">
        <v>283</v>
      </c>
      <c r="F18" s="1" t="s">
        <v>283</v>
      </c>
      <c r="G18" s="59">
        <v>1</v>
      </c>
      <c r="H18" s="59" t="s">
        <v>304</v>
      </c>
      <c r="I18" s="59" t="s">
        <v>305</v>
      </c>
      <c r="J18" s="59">
        <v>1</v>
      </c>
      <c r="K18" s="59" t="s">
        <v>265</v>
      </c>
      <c r="L18" s="59">
        <v>2000</v>
      </c>
      <c r="M18" s="59">
        <v>10</v>
      </c>
    </row>
    <row r="19" spans="2:31">
      <c r="B19" s="63"/>
      <c r="D19" s="63"/>
      <c r="F19" s="63"/>
      <c r="G19" s="63"/>
      <c r="H19" s="63"/>
      <c r="I19" s="63"/>
      <c r="J19" s="63"/>
      <c r="K19" s="63"/>
    </row>
    <row r="20" spans="2:31">
      <c r="B20" t="s">
        <v>289</v>
      </c>
    </row>
    <row r="21" spans="2:31">
      <c r="B21" t="s">
        <v>288</v>
      </c>
    </row>
    <row r="22" spans="2:31">
      <c r="B22" t="s">
        <v>294</v>
      </c>
    </row>
    <row r="23" spans="2:31">
      <c r="B23" t="s">
        <v>295</v>
      </c>
    </row>
    <row r="26" spans="2:31">
      <c r="B26" t="s">
        <v>297</v>
      </c>
    </row>
    <row r="27" spans="2:31" ht="37.5">
      <c r="B27" s="57" t="s">
        <v>181</v>
      </c>
      <c r="C27" s="58" t="s">
        <v>183</v>
      </c>
      <c r="D27" s="58" t="s">
        <v>184</v>
      </c>
      <c r="E27" s="58" t="s">
        <v>185</v>
      </c>
      <c r="F27" s="58" t="s">
        <v>186</v>
      </c>
      <c r="G27" s="57" t="s">
        <v>204</v>
      </c>
      <c r="H27" s="57" t="s">
        <v>207</v>
      </c>
      <c r="I27" s="57" t="s">
        <v>109</v>
      </c>
      <c r="J27" s="57" t="s">
        <v>111</v>
      </c>
      <c r="K27" s="57" t="s">
        <v>113</v>
      </c>
      <c r="L27" s="57" t="s">
        <v>119</v>
      </c>
      <c r="M27" s="57" t="s">
        <v>121</v>
      </c>
      <c r="N27" s="57" t="s">
        <v>124</v>
      </c>
      <c r="O27" s="57" t="s">
        <v>126</v>
      </c>
      <c r="P27" s="57" t="s">
        <v>128</v>
      </c>
      <c r="Q27" s="57" t="s">
        <v>130</v>
      </c>
      <c r="R27" s="57" t="s">
        <v>132</v>
      </c>
      <c r="S27" s="57" t="s">
        <v>134</v>
      </c>
      <c r="T27" s="57" t="s">
        <v>136</v>
      </c>
      <c r="U27" s="57" t="s">
        <v>138</v>
      </c>
      <c r="V27" s="57" t="s">
        <v>139</v>
      </c>
      <c r="W27" s="57" t="s">
        <v>141</v>
      </c>
      <c r="X27" s="57" t="s">
        <v>142</v>
      </c>
      <c r="Y27" s="57" t="s">
        <v>143</v>
      </c>
      <c r="Z27" s="57" t="s">
        <v>145</v>
      </c>
      <c r="AA27" s="58" t="s">
        <v>150</v>
      </c>
      <c r="AB27" s="58" t="s">
        <v>151</v>
      </c>
      <c r="AC27" s="58" t="s">
        <v>152</v>
      </c>
      <c r="AD27" s="58" t="s">
        <v>153</v>
      </c>
      <c r="AE27" s="58" t="s">
        <v>154</v>
      </c>
    </row>
    <row r="28" spans="2:31">
      <c r="B28" s="1" t="s">
        <v>215</v>
      </c>
      <c r="C28" s="1" t="s">
        <v>251</v>
      </c>
      <c r="D28" s="1" t="s">
        <v>225</v>
      </c>
      <c r="E28" s="1" t="s">
        <v>252</v>
      </c>
      <c r="F28" s="1" t="s">
        <v>226</v>
      </c>
      <c r="G28" s="1" t="s">
        <v>300</v>
      </c>
      <c r="H28" s="1" t="s">
        <v>209</v>
      </c>
      <c r="I28" s="2">
        <v>36412</v>
      </c>
      <c r="J28" s="1" t="s">
        <v>212</v>
      </c>
      <c r="K28" s="4" t="s">
        <v>227</v>
      </c>
      <c r="L28" s="1">
        <v>1000001</v>
      </c>
      <c r="M28" s="1" t="s">
        <v>213</v>
      </c>
      <c r="N28" s="1" t="s">
        <v>214</v>
      </c>
      <c r="O28" s="1" t="s">
        <v>218</v>
      </c>
      <c r="P28" s="1" t="s">
        <v>219</v>
      </c>
      <c r="Q28" s="1" t="s">
        <v>220</v>
      </c>
      <c r="R28" s="1" t="s">
        <v>221</v>
      </c>
      <c r="S28" s="1" t="s">
        <v>223</v>
      </c>
      <c r="T28" s="1" t="s">
        <v>222</v>
      </c>
      <c r="U28" s="1" t="s">
        <v>253</v>
      </c>
      <c r="V28" s="3">
        <v>46092.63652777778</v>
      </c>
      <c r="W28" s="1">
        <v>0</v>
      </c>
      <c r="X28" s="1">
        <v>0</v>
      </c>
      <c r="Y28" s="1" t="s">
        <v>217</v>
      </c>
      <c r="Z28" s="1" t="s">
        <v>224</v>
      </c>
      <c r="AA28" s="1" t="s">
        <v>216</v>
      </c>
      <c r="AB28" s="1" t="s">
        <v>216</v>
      </c>
      <c r="AC28" s="1" t="s">
        <v>216</v>
      </c>
      <c r="AD28" s="1">
        <v>1111</v>
      </c>
      <c r="AE28" s="1">
        <v>2222</v>
      </c>
    </row>
    <row r="31" spans="2:31">
      <c r="B31" t="s">
        <v>298</v>
      </c>
    </row>
    <row r="32" spans="2:31" ht="18.75">
      <c r="B32" s="54" t="s">
        <v>181</v>
      </c>
      <c r="C32" s="55" t="s">
        <v>161</v>
      </c>
      <c r="D32" s="55" t="s">
        <v>162</v>
      </c>
      <c r="E32" s="54" t="s">
        <v>182</v>
      </c>
      <c r="F32" s="56" t="s">
        <v>195</v>
      </c>
      <c r="G32" s="56" t="s">
        <v>196</v>
      </c>
      <c r="H32" s="56" t="s">
        <v>197</v>
      </c>
      <c r="I32" s="56" t="s">
        <v>198</v>
      </c>
      <c r="J32" s="55" t="s">
        <v>113</v>
      </c>
      <c r="K32" s="55" t="s">
        <v>119</v>
      </c>
      <c r="L32" s="55" t="s">
        <v>121</v>
      </c>
      <c r="M32" s="55" t="s">
        <v>124</v>
      </c>
      <c r="N32" s="55" t="s">
        <v>126</v>
      </c>
      <c r="O32" s="55" t="s">
        <v>128</v>
      </c>
      <c r="P32" s="55" t="s">
        <v>130</v>
      </c>
      <c r="Q32" s="55" t="s">
        <v>132</v>
      </c>
      <c r="R32" s="55" t="s">
        <v>134</v>
      </c>
      <c r="S32" s="55" t="s">
        <v>136</v>
      </c>
    </row>
    <row r="33" spans="2:19">
      <c r="B33" s="1" t="s">
        <v>215</v>
      </c>
      <c r="C33" s="1" t="s">
        <v>300</v>
      </c>
      <c r="D33" s="1">
        <v>0</v>
      </c>
      <c r="E33" s="1" t="s">
        <v>228</v>
      </c>
      <c r="F33" s="1" t="s">
        <v>210</v>
      </c>
      <c r="G33" s="1" t="s">
        <v>229</v>
      </c>
      <c r="H33" s="1" t="s">
        <v>211</v>
      </c>
      <c r="I33" s="1" t="s">
        <v>230</v>
      </c>
      <c r="J33" s="4" t="s">
        <v>233</v>
      </c>
      <c r="K33" s="4" t="s">
        <v>235</v>
      </c>
      <c r="L33" s="1" t="s">
        <v>231</v>
      </c>
      <c r="M33" s="1" t="s">
        <v>232</v>
      </c>
      <c r="N33" s="1" t="s">
        <v>236</v>
      </c>
      <c r="O33" s="1" t="s">
        <v>234</v>
      </c>
      <c r="P33" s="1" t="s">
        <v>237</v>
      </c>
      <c r="Q33" s="1" t="s">
        <v>238</v>
      </c>
      <c r="R33" s="1" t="s">
        <v>239</v>
      </c>
      <c r="S33" s="1" t="s">
        <v>240</v>
      </c>
    </row>
    <row r="34" spans="2:19">
      <c r="J34" s="5"/>
      <c r="K34" s="6"/>
    </row>
    <row r="36" spans="2:19">
      <c r="B36" t="s">
        <v>299</v>
      </c>
    </row>
    <row r="37" spans="2:19" ht="18.75">
      <c r="B37" s="52" t="s">
        <v>242</v>
      </c>
      <c r="C37" s="52" t="s">
        <v>98</v>
      </c>
      <c r="D37" s="52" t="s">
        <v>97</v>
      </c>
      <c r="E37" s="52" t="s">
        <v>96</v>
      </c>
      <c r="F37" s="53" t="s">
        <v>191</v>
      </c>
    </row>
    <row r="38" spans="2:19">
      <c r="B38" s="1">
        <v>0</v>
      </c>
      <c r="C38" s="1">
        <v>90</v>
      </c>
      <c r="D38" s="1" t="s">
        <v>696</v>
      </c>
      <c r="E38" s="1" t="s">
        <v>253</v>
      </c>
      <c r="F38" s="1">
        <v>1000</v>
      </c>
    </row>
    <row r="40" spans="2:19">
      <c r="B40" t="s">
        <v>296</v>
      </c>
    </row>
    <row r="41" spans="2:19" ht="18.75">
      <c r="B41" s="52" t="s">
        <v>242</v>
      </c>
      <c r="C41" s="52" t="s">
        <v>98</v>
      </c>
      <c r="D41" s="52" t="s">
        <v>97</v>
      </c>
      <c r="E41" s="52" t="s">
        <v>96</v>
      </c>
      <c r="F41" s="53" t="s">
        <v>193</v>
      </c>
    </row>
    <row r="42" spans="2:19">
      <c r="B42" s="1">
        <v>1</v>
      </c>
      <c r="C42" s="1">
        <v>90</v>
      </c>
      <c r="D42" s="1" t="s">
        <v>696</v>
      </c>
      <c r="E42" s="1" t="s">
        <v>253</v>
      </c>
      <c r="F42" s="1">
        <v>500</v>
      </c>
    </row>
    <row r="48" spans="2:19">
      <c r="B48" t="s">
        <v>464</v>
      </c>
    </row>
    <row r="49" spans="2:41" ht="18.75">
      <c r="B49" s="81" t="s">
        <v>377</v>
      </c>
      <c r="C49" s="81" t="s">
        <v>96</v>
      </c>
      <c r="D49" s="81" t="s">
        <v>381</v>
      </c>
      <c r="E49" s="81" t="s">
        <v>643</v>
      </c>
      <c r="F49" s="81" t="s">
        <v>701</v>
      </c>
      <c r="G49" s="81" t="s">
        <v>316</v>
      </c>
      <c r="H49" s="81" t="s">
        <v>704</v>
      </c>
      <c r="I49" s="81" t="s">
        <v>414</v>
      </c>
      <c r="J49" s="81" t="s">
        <v>488</v>
      </c>
      <c r="K49" s="81" t="s">
        <v>24</v>
      </c>
      <c r="L49" s="81" t="s">
        <v>407</v>
      </c>
      <c r="M49" s="81" t="s">
        <v>408</v>
      </c>
      <c r="N49" s="81" t="s">
        <v>705</v>
      </c>
      <c r="O49" s="81" t="s">
        <v>706</v>
      </c>
      <c r="P49" s="81" t="s">
        <v>417</v>
      </c>
      <c r="Q49" s="81" t="s">
        <v>332</v>
      </c>
      <c r="R49" s="81" t="s">
        <v>334</v>
      </c>
      <c r="S49" s="81" t="s">
        <v>416</v>
      </c>
      <c r="T49" s="81" t="s">
        <v>337</v>
      </c>
      <c r="U49" s="81" t="s">
        <v>339</v>
      </c>
      <c r="V49" s="81" t="s">
        <v>388</v>
      </c>
      <c r="W49" s="81" t="s">
        <v>390</v>
      </c>
      <c r="X49" s="81" t="s">
        <v>707</v>
      </c>
      <c r="Y49" s="81" t="s">
        <v>393</v>
      </c>
      <c r="Z49" s="81" t="s">
        <v>395</v>
      </c>
      <c r="AA49" s="81" t="s">
        <v>410</v>
      </c>
      <c r="AB49" s="81" t="s">
        <v>409</v>
      </c>
      <c r="AC49" s="81" t="s">
        <v>708</v>
      </c>
      <c r="AD49" s="81" t="s">
        <v>709</v>
      </c>
      <c r="AE49" s="81" t="s">
        <v>355</v>
      </c>
      <c r="AF49" s="81" t="s">
        <v>357</v>
      </c>
      <c r="AG49" s="81" t="s">
        <v>359</v>
      </c>
      <c r="AH49" s="81" t="s">
        <v>433</v>
      </c>
      <c r="AI49" s="81" t="s">
        <v>362</v>
      </c>
      <c r="AJ49" s="81" t="s">
        <v>364</v>
      </c>
      <c r="AK49" s="81" t="s">
        <v>399</v>
      </c>
      <c r="AL49" s="81" t="s">
        <v>400</v>
      </c>
      <c r="AM49" s="81" t="s">
        <v>710</v>
      </c>
      <c r="AN49" s="81" t="s">
        <v>403</v>
      </c>
      <c r="AO49" s="81" t="s">
        <v>405</v>
      </c>
    </row>
    <row r="50" spans="2:41">
      <c r="B50" s="1" t="s">
        <v>472</v>
      </c>
      <c r="C50" s="1" t="s">
        <v>253</v>
      </c>
      <c r="D50" s="1" t="s">
        <v>300</v>
      </c>
      <c r="E50" s="1" t="s">
        <v>644</v>
      </c>
      <c r="F50" s="1">
        <v>3750</v>
      </c>
      <c r="G50" s="1">
        <v>350</v>
      </c>
      <c r="H50" s="1">
        <v>3000</v>
      </c>
      <c r="I50" s="1">
        <v>550</v>
      </c>
      <c r="J50" s="1">
        <v>-100</v>
      </c>
      <c r="K50" s="1" t="s">
        <v>253</v>
      </c>
      <c r="L50" s="1" t="s">
        <v>473</v>
      </c>
      <c r="M50" s="1" t="s">
        <v>474</v>
      </c>
      <c r="N50" s="1" t="s">
        <v>475</v>
      </c>
      <c r="O50" s="1" t="s">
        <v>476</v>
      </c>
      <c r="P50" s="1" t="s">
        <v>300</v>
      </c>
      <c r="Q50" s="82" t="s">
        <v>478</v>
      </c>
      <c r="R50" s="1">
        <v>1000001</v>
      </c>
      <c r="S50" s="1" t="s">
        <v>213</v>
      </c>
      <c r="T50" s="1" t="s">
        <v>214</v>
      </c>
      <c r="U50" s="1" t="s">
        <v>218</v>
      </c>
      <c r="V50" s="1" t="s">
        <v>219</v>
      </c>
      <c r="W50" s="1" t="s">
        <v>220</v>
      </c>
      <c r="X50" s="1" t="s">
        <v>221</v>
      </c>
      <c r="Y50" s="1" t="s">
        <v>223</v>
      </c>
      <c r="Z50" s="1" t="s">
        <v>222</v>
      </c>
      <c r="AA50" s="1" t="s">
        <v>251</v>
      </c>
      <c r="AB50" s="1" t="s">
        <v>225</v>
      </c>
      <c r="AC50" s="1" t="s">
        <v>252</v>
      </c>
      <c r="AD50" s="1" t="s">
        <v>226</v>
      </c>
      <c r="AE50" s="1" t="s">
        <v>300</v>
      </c>
      <c r="AF50" s="82" t="s">
        <v>479</v>
      </c>
      <c r="AG50" s="1">
        <v>1000001</v>
      </c>
      <c r="AH50" s="1" t="s">
        <v>213</v>
      </c>
      <c r="AI50" s="1" t="s">
        <v>214</v>
      </c>
      <c r="AJ50" s="1" t="s">
        <v>480</v>
      </c>
      <c r="AK50" s="1" t="s">
        <v>481</v>
      </c>
      <c r="AL50" s="1" t="s">
        <v>482</v>
      </c>
      <c r="AM50" s="1" t="s">
        <v>483</v>
      </c>
      <c r="AN50" s="1" t="s">
        <v>239</v>
      </c>
      <c r="AO50" s="1" t="s">
        <v>484</v>
      </c>
    </row>
    <row r="53" spans="2:41">
      <c r="B53" t="s">
        <v>485</v>
      </c>
    </row>
    <row r="54" spans="2:41" ht="16.5">
      <c r="B54" s="80" t="s">
        <v>377</v>
      </c>
      <c r="C54" s="80" t="s">
        <v>378</v>
      </c>
      <c r="D54" s="80" t="s">
        <v>37</v>
      </c>
      <c r="E54" s="80" t="s">
        <v>309</v>
      </c>
      <c r="F54" s="80" t="s">
        <v>629</v>
      </c>
      <c r="G54" s="80" t="s">
        <v>712</v>
      </c>
      <c r="H54" s="80" t="s">
        <v>370</v>
      </c>
      <c r="I54" s="80" t="s">
        <v>374</v>
      </c>
    </row>
    <row r="55" spans="2:41">
      <c r="B55" s="1" t="s">
        <v>472</v>
      </c>
      <c r="C55" s="1">
        <v>1</v>
      </c>
      <c r="D55" s="1" t="s">
        <v>283</v>
      </c>
      <c r="E55" s="1" t="s">
        <v>283</v>
      </c>
      <c r="F55" s="1">
        <v>980</v>
      </c>
      <c r="G55" s="1">
        <v>1000</v>
      </c>
      <c r="H55" s="1">
        <v>10</v>
      </c>
      <c r="I55" s="1">
        <v>1</v>
      </c>
    </row>
    <row r="56" spans="2:41">
      <c r="B56" s="1" t="s">
        <v>472</v>
      </c>
      <c r="C56" s="1">
        <v>2</v>
      </c>
      <c r="D56" s="1" t="s">
        <v>486</v>
      </c>
      <c r="E56" s="1" t="s">
        <v>486</v>
      </c>
      <c r="F56" s="1">
        <v>1980</v>
      </c>
      <c r="G56" s="1">
        <v>2000</v>
      </c>
      <c r="H56" s="1">
        <v>10</v>
      </c>
      <c r="I56" s="1">
        <v>1</v>
      </c>
    </row>
    <row r="60" spans="2:41">
      <c r="B60" t="s">
        <v>557</v>
      </c>
    </row>
    <row r="61" spans="2:41">
      <c r="B61" s="108" t="s">
        <v>491</v>
      </c>
      <c r="C61" s="108" t="s">
        <v>492</v>
      </c>
      <c r="D61" s="108" t="s">
        <v>493</v>
      </c>
      <c r="E61" s="108" t="s">
        <v>494</v>
      </c>
      <c r="F61" s="108" t="s">
        <v>145</v>
      </c>
      <c r="G61" s="108" t="s">
        <v>495</v>
      </c>
      <c r="H61" s="108" t="s">
        <v>496</v>
      </c>
      <c r="I61" s="108" t="s">
        <v>687</v>
      </c>
      <c r="J61" s="108" t="s">
        <v>497</v>
      </c>
      <c r="K61" s="108" t="s">
        <v>498</v>
      </c>
      <c r="L61" s="108" t="s">
        <v>500</v>
      </c>
      <c r="M61" s="108" t="s">
        <v>501</v>
      </c>
      <c r="N61" s="108" t="s">
        <v>688</v>
      </c>
      <c r="O61" s="108" t="s">
        <v>503</v>
      </c>
    </row>
    <row r="62" spans="2:41">
      <c r="B62" s="1">
        <v>12345678</v>
      </c>
      <c r="C62" s="1" t="s">
        <v>689</v>
      </c>
      <c r="D62" s="1" t="s">
        <v>690</v>
      </c>
      <c r="E62" s="1" t="s">
        <v>691</v>
      </c>
      <c r="F62" s="1" t="s">
        <v>692</v>
      </c>
      <c r="G62" s="3">
        <v>46153.705300925925</v>
      </c>
      <c r="H62" s="3">
        <v>46752.999988425923</v>
      </c>
      <c r="I62" s="1"/>
      <c r="J62" s="1" t="s">
        <v>693</v>
      </c>
      <c r="K62" s="1">
        <v>1</v>
      </c>
      <c r="L62" s="1">
        <v>1</v>
      </c>
      <c r="M62" s="1">
        <v>1</v>
      </c>
      <c r="N62" s="1" t="s">
        <v>694</v>
      </c>
      <c r="O62" s="1">
        <v>11111111</v>
      </c>
    </row>
  </sheetData>
  <phoneticPr fontId="5"/>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B4787-2E27-4E97-BF06-05D9D6B92952}">
  <sheetPr>
    <tabColor theme="9" tint="0.79998168889431442"/>
  </sheetPr>
  <dimension ref="A2:N17"/>
  <sheetViews>
    <sheetView showGridLines="0" zoomScale="90" zoomScaleNormal="90" workbookViewId="0">
      <selection activeCell="C35" sqref="C35"/>
    </sheetView>
  </sheetViews>
  <sheetFormatPr defaultColWidth="7.109375" defaultRowHeight="16.5"/>
  <cols>
    <col min="1" max="1" width="2.77734375" style="7" customWidth="1"/>
    <col min="2" max="2" width="3.33203125" style="7" customWidth="1"/>
    <col min="3" max="3" width="19.5546875" style="7" customWidth="1"/>
    <col min="4" max="4" width="5.88671875" style="8" bestFit="1" customWidth="1"/>
    <col min="5" max="6" width="5.88671875" style="8" hidden="1" customWidth="1"/>
    <col min="7" max="7" width="12.109375" style="8" bestFit="1" customWidth="1"/>
    <col min="8" max="8" width="12.5546875" style="8" customWidth="1"/>
    <col min="9" max="9" width="62.21875" style="9" customWidth="1"/>
    <col min="10" max="16384" width="7.109375" style="7"/>
  </cols>
  <sheetData>
    <row r="2" spans="1:14">
      <c r="B2" s="7" t="s">
        <v>0</v>
      </c>
    </row>
    <row r="3" spans="1:14">
      <c r="B3" s="33" t="s">
        <v>243</v>
      </c>
      <c r="C3" s="33" t="s">
        <v>1</v>
      </c>
      <c r="D3" s="33" t="s">
        <v>2</v>
      </c>
      <c r="E3" s="33" t="s">
        <v>3</v>
      </c>
      <c r="F3" s="33" t="s">
        <v>4</v>
      </c>
      <c r="G3" s="33" t="s">
        <v>6</v>
      </c>
      <c r="H3" s="33" t="s">
        <v>7</v>
      </c>
      <c r="I3" s="34" t="s">
        <v>282</v>
      </c>
    </row>
    <row r="4" spans="1:14">
      <c r="A4" s="46"/>
      <c r="B4" s="10">
        <f>ROW()-3</f>
        <v>1</v>
      </c>
      <c r="C4" s="11" t="s">
        <v>9</v>
      </c>
      <c r="D4" s="12" t="s">
        <v>10</v>
      </c>
      <c r="E4" s="12" t="s">
        <v>10</v>
      </c>
      <c r="F4" s="12" t="s">
        <v>10</v>
      </c>
      <c r="G4" s="12" t="s">
        <v>12</v>
      </c>
      <c r="H4" s="12">
        <v>1</v>
      </c>
      <c r="I4" s="13" t="s">
        <v>673</v>
      </c>
    </row>
    <row r="5" spans="1:14" ht="33.75" customHeight="1">
      <c r="A5" s="46"/>
      <c r="B5" s="10">
        <f t="shared" ref="B5:B12" si="0">ROW()-3</f>
        <v>2</v>
      </c>
      <c r="C5" s="11" t="s">
        <v>15</v>
      </c>
      <c r="D5" s="62" t="s">
        <v>149</v>
      </c>
      <c r="E5" s="12" t="s">
        <v>149</v>
      </c>
      <c r="F5" s="12" t="s">
        <v>13</v>
      </c>
      <c r="G5" s="12" t="s">
        <v>16</v>
      </c>
      <c r="H5" s="12">
        <v>64</v>
      </c>
      <c r="I5" s="65" t="s">
        <v>677</v>
      </c>
    </row>
    <row r="6" spans="1:14">
      <c r="A6" s="46"/>
      <c r="B6" s="10">
        <f t="shared" si="0"/>
        <v>3</v>
      </c>
      <c r="C6" s="11" t="s">
        <v>17</v>
      </c>
      <c r="D6" s="12" t="s">
        <v>10</v>
      </c>
      <c r="E6" s="12" t="s">
        <v>14</v>
      </c>
      <c r="F6" s="12" t="s">
        <v>11</v>
      </c>
      <c r="G6" s="12" t="s">
        <v>18</v>
      </c>
      <c r="H6" s="12">
        <v>255</v>
      </c>
      <c r="I6" s="13" t="s">
        <v>280</v>
      </c>
    </row>
    <row r="7" spans="1:14">
      <c r="A7" s="46"/>
      <c r="B7" s="10">
        <f t="shared" si="0"/>
        <v>4</v>
      </c>
      <c r="C7" s="14" t="s">
        <v>66</v>
      </c>
      <c r="D7" s="12" t="s">
        <v>149</v>
      </c>
      <c r="E7" s="12" t="s">
        <v>11</v>
      </c>
      <c r="F7" s="10" t="s">
        <v>11</v>
      </c>
      <c r="G7" s="10" t="s">
        <v>16</v>
      </c>
      <c r="H7" s="10">
        <v>64</v>
      </c>
      <c r="I7" s="13" t="s">
        <v>700</v>
      </c>
    </row>
    <row r="8" spans="1:14" ht="33" hidden="1">
      <c r="B8" s="10">
        <f t="shared" si="0"/>
        <v>5</v>
      </c>
      <c r="C8" s="11" t="s">
        <v>64</v>
      </c>
      <c r="D8" s="12" t="s">
        <v>14</v>
      </c>
      <c r="E8" s="12" t="s">
        <v>14</v>
      </c>
      <c r="F8" s="12" t="s">
        <v>11</v>
      </c>
      <c r="G8" s="12" t="s">
        <v>16</v>
      </c>
      <c r="H8" s="12">
        <v>64</v>
      </c>
      <c r="I8" s="65" t="s">
        <v>301</v>
      </c>
    </row>
    <row r="9" spans="1:14" ht="33" hidden="1">
      <c r="B9" s="10">
        <f t="shared" si="0"/>
        <v>6</v>
      </c>
      <c r="C9" s="11" t="s">
        <v>22</v>
      </c>
      <c r="D9" s="12" t="s">
        <v>14</v>
      </c>
      <c r="E9" s="12" t="s">
        <v>14</v>
      </c>
      <c r="F9" s="12" t="s">
        <v>11</v>
      </c>
      <c r="G9" s="12" t="s">
        <v>16</v>
      </c>
      <c r="H9" s="12">
        <v>64</v>
      </c>
      <c r="I9" s="65" t="s">
        <v>301</v>
      </c>
    </row>
    <row r="10" spans="1:14" ht="33" hidden="1">
      <c r="B10" s="10">
        <f t="shared" si="0"/>
        <v>7</v>
      </c>
      <c r="C10" s="11" t="s">
        <v>23</v>
      </c>
      <c r="D10" s="12" t="s">
        <v>14</v>
      </c>
      <c r="E10" s="12" t="s">
        <v>14</v>
      </c>
      <c r="F10" s="12" t="s">
        <v>11</v>
      </c>
      <c r="G10" s="12" t="s">
        <v>16</v>
      </c>
      <c r="H10" s="12">
        <v>64</v>
      </c>
      <c r="I10" s="65" t="s">
        <v>301</v>
      </c>
    </row>
    <row r="11" spans="1:14" s="16" customFormat="1" hidden="1">
      <c r="A11" s="46"/>
      <c r="B11" s="10">
        <f t="shared" si="0"/>
        <v>8</v>
      </c>
      <c r="C11" s="14" t="s">
        <v>67</v>
      </c>
      <c r="D11" s="62" t="s">
        <v>149</v>
      </c>
      <c r="E11" s="10" t="s">
        <v>11</v>
      </c>
      <c r="F11" s="10" t="s">
        <v>11</v>
      </c>
      <c r="G11" s="10" t="s">
        <v>20</v>
      </c>
      <c r="H11" s="10">
        <v>1</v>
      </c>
      <c r="I11" s="15" t="s">
        <v>278</v>
      </c>
      <c r="J11" s="7"/>
      <c r="K11" s="7"/>
      <c r="L11" s="7"/>
      <c r="M11" s="7"/>
      <c r="N11" s="7"/>
    </row>
    <row r="12" spans="1:14" ht="33" hidden="1">
      <c r="B12" s="10">
        <f t="shared" si="0"/>
        <v>9</v>
      </c>
      <c r="C12" s="11" t="s">
        <v>89</v>
      </c>
      <c r="D12" s="12" t="s">
        <v>14</v>
      </c>
      <c r="E12" s="12" t="s">
        <v>14</v>
      </c>
      <c r="F12" s="12" t="s">
        <v>11</v>
      </c>
      <c r="G12" s="12" t="s">
        <v>20</v>
      </c>
      <c r="H12" s="12">
        <v>11</v>
      </c>
      <c r="I12" s="13" t="s">
        <v>245</v>
      </c>
    </row>
    <row r="13" spans="1:14">
      <c r="D13" s="27" t="s">
        <v>263</v>
      </c>
    </row>
    <row r="15" spans="1:14">
      <c r="B15" s="17"/>
    </row>
    <row r="16" spans="1:14">
      <c r="B16" s="17"/>
    </row>
    <row r="17" spans="2:2">
      <c r="B17" s="17"/>
    </row>
  </sheetData>
  <phoneticPr fontId="5"/>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573EC-75B4-456C-A2FC-F9EA016A01C3}">
  <sheetPr>
    <tabColor theme="9" tint="0.79998168889431442"/>
  </sheetPr>
  <dimension ref="A2:J23"/>
  <sheetViews>
    <sheetView showGridLines="0" zoomScale="90" zoomScaleNormal="90" workbookViewId="0">
      <selection activeCell="J10" sqref="J10"/>
    </sheetView>
  </sheetViews>
  <sheetFormatPr defaultColWidth="7.109375" defaultRowHeight="16.5"/>
  <cols>
    <col min="1" max="1" width="2.77734375" style="46" customWidth="1"/>
    <col min="2" max="2" width="4.109375" style="7" customWidth="1"/>
    <col min="3" max="3" width="25" style="7" customWidth="1"/>
    <col min="4" max="4" width="6.109375" style="8" customWidth="1"/>
    <col min="5" max="6" width="0" style="8" hidden="1" customWidth="1"/>
    <col min="7" max="7" width="13.44140625" style="8" hidden="1" customWidth="1"/>
    <col min="8" max="8" width="19.5546875" style="8" customWidth="1"/>
    <col min="9" max="9" width="15.44140625" style="8" bestFit="1" customWidth="1"/>
    <col min="10" max="10" width="55.33203125" style="9" customWidth="1"/>
    <col min="11" max="11" width="7.109375" style="7"/>
    <col min="12" max="12" width="11.44140625" style="7" customWidth="1"/>
    <col min="13" max="16384" width="7.109375" style="7"/>
  </cols>
  <sheetData>
    <row r="2" spans="2:10" ht="12.6" customHeight="1">
      <c r="B2" s="7" t="s">
        <v>26</v>
      </c>
    </row>
    <row r="3" spans="2:10">
      <c r="B3" s="33" t="s">
        <v>243</v>
      </c>
      <c r="C3" s="33" t="s">
        <v>1</v>
      </c>
      <c r="D3" s="33" t="s">
        <v>2</v>
      </c>
      <c r="E3" s="33" t="s">
        <v>3</v>
      </c>
      <c r="F3" s="33" t="s">
        <v>4</v>
      </c>
      <c r="G3" s="33" t="s">
        <v>5</v>
      </c>
      <c r="H3" s="33" t="s">
        <v>6</v>
      </c>
      <c r="I3" s="33" t="s">
        <v>7</v>
      </c>
      <c r="J3" s="34" t="s">
        <v>8</v>
      </c>
    </row>
    <row r="4" spans="2:10">
      <c r="B4" s="41">
        <f>ROW()-3</f>
        <v>1</v>
      </c>
      <c r="C4" s="11" t="s">
        <v>9</v>
      </c>
      <c r="D4" s="42" t="s">
        <v>10</v>
      </c>
      <c r="E4" s="42" t="s">
        <v>10</v>
      </c>
      <c r="F4" s="42" t="s">
        <v>10</v>
      </c>
      <c r="G4" s="42" t="s">
        <v>11</v>
      </c>
      <c r="H4" s="42" t="s">
        <v>12</v>
      </c>
      <c r="I4" s="42">
        <v>1</v>
      </c>
      <c r="J4" s="13" t="s">
        <v>673</v>
      </c>
    </row>
    <row r="5" spans="2:10" ht="27" customHeight="1">
      <c r="B5" s="41">
        <f t="shared" ref="B5:B22" si="0">ROW()-3</f>
        <v>2</v>
      </c>
      <c r="C5" s="11" t="s">
        <v>28</v>
      </c>
      <c r="D5" s="12" t="s">
        <v>10</v>
      </c>
      <c r="E5" s="42" t="s">
        <v>10</v>
      </c>
      <c r="F5" s="42" t="s">
        <v>10</v>
      </c>
      <c r="G5" s="12" t="s">
        <v>14</v>
      </c>
      <c r="H5" s="12" t="s">
        <v>16</v>
      </c>
      <c r="I5" s="12">
        <v>64</v>
      </c>
      <c r="J5" s="13" t="s">
        <v>281</v>
      </c>
    </row>
    <row r="6" spans="2:10" ht="28.5" customHeight="1">
      <c r="B6" s="41">
        <f t="shared" si="0"/>
        <v>3</v>
      </c>
      <c r="C6" s="11" t="s">
        <v>29</v>
      </c>
      <c r="D6" s="12" t="s">
        <v>10</v>
      </c>
      <c r="E6" s="12" t="s">
        <v>14</v>
      </c>
      <c r="F6" s="12" t="s">
        <v>11</v>
      </c>
      <c r="G6" s="12" t="s">
        <v>14</v>
      </c>
      <c r="H6" s="12" t="s">
        <v>18</v>
      </c>
      <c r="I6" s="12">
        <v>255</v>
      </c>
      <c r="J6" s="109" t="s">
        <v>279</v>
      </c>
    </row>
    <row r="7" spans="2:10">
      <c r="B7" s="10">
        <f t="shared" si="0"/>
        <v>4</v>
      </c>
      <c r="C7" s="11" t="s">
        <v>83</v>
      </c>
      <c r="D7" s="12" t="s">
        <v>10</v>
      </c>
      <c r="E7" s="12" t="s">
        <v>14</v>
      </c>
      <c r="F7" s="12" t="s">
        <v>11</v>
      </c>
      <c r="G7" s="12" t="s">
        <v>14</v>
      </c>
      <c r="H7" s="12" t="s">
        <v>12</v>
      </c>
      <c r="I7" s="12">
        <v>1</v>
      </c>
      <c r="J7" s="13" t="s">
        <v>674</v>
      </c>
    </row>
    <row r="8" spans="2:10">
      <c r="B8" s="10">
        <f t="shared" si="0"/>
        <v>5</v>
      </c>
      <c r="C8" s="11" t="s">
        <v>685</v>
      </c>
      <c r="D8" s="12" t="s">
        <v>10</v>
      </c>
      <c r="E8" s="12" t="s">
        <v>14</v>
      </c>
      <c r="F8" s="12" t="s">
        <v>11</v>
      </c>
      <c r="G8" s="12" t="s">
        <v>14</v>
      </c>
      <c r="H8" s="12" t="s">
        <v>12</v>
      </c>
      <c r="I8" s="12">
        <v>1</v>
      </c>
      <c r="J8" s="13" t="s">
        <v>686</v>
      </c>
    </row>
    <row r="9" spans="2:10" ht="35.25" customHeight="1">
      <c r="B9" s="41">
        <f t="shared" si="0"/>
        <v>6</v>
      </c>
      <c r="C9" s="43" t="s">
        <v>24</v>
      </c>
      <c r="D9" s="12" t="s">
        <v>10</v>
      </c>
      <c r="E9" s="41" t="s">
        <v>11</v>
      </c>
      <c r="F9" s="41" t="s">
        <v>11</v>
      </c>
      <c r="G9" s="41" t="s">
        <v>14</v>
      </c>
      <c r="H9" s="41" t="s">
        <v>16</v>
      </c>
      <c r="I9" s="41">
        <v>64</v>
      </c>
      <c r="J9" s="13" t="s">
        <v>700</v>
      </c>
    </row>
    <row r="10" spans="2:10" ht="35.25" customHeight="1">
      <c r="B10" s="41">
        <f t="shared" si="0"/>
        <v>7</v>
      </c>
      <c r="C10" s="43" t="s">
        <v>30</v>
      </c>
      <c r="D10" s="12" t="s">
        <v>10</v>
      </c>
      <c r="E10" s="62" t="s">
        <v>10</v>
      </c>
      <c r="F10" s="41" t="s">
        <v>11</v>
      </c>
      <c r="G10" s="41" t="s">
        <v>14</v>
      </c>
      <c r="H10" s="32" t="s">
        <v>31</v>
      </c>
      <c r="I10" s="45" t="s">
        <v>84</v>
      </c>
      <c r="J10" s="64" t="s">
        <v>667</v>
      </c>
    </row>
    <row r="11" spans="2:10">
      <c r="B11" s="41">
        <f t="shared" si="0"/>
        <v>8</v>
      </c>
      <c r="C11" s="47" t="s">
        <v>256</v>
      </c>
      <c r="D11" s="12" t="s">
        <v>10</v>
      </c>
      <c r="E11" s="62" t="s">
        <v>10</v>
      </c>
      <c r="F11" s="41" t="s">
        <v>11</v>
      </c>
      <c r="G11" s="41" t="s">
        <v>14</v>
      </c>
      <c r="H11" s="41" t="s">
        <v>262</v>
      </c>
      <c r="I11" s="41">
        <v>255</v>
      </c>
      <c r="J11" s="44" t="s">
        <v>259</v>
      </c>
    </row>
    <row r="12" spans="2:10" ht="33" hidden="1">
      <c r="B12" s="10">
        <f t="shared" si="0"/>
        <v>9</v>
      </c>
      <c r="C12" s="11" t="s">
        <v>64</v>
      </c>
      <c r="D12" s="12" t="s">
        <v>14</v>
      </c>
      <c r="E12" s="12" t="s">
        <v>11</v>
      </c>
      <c r="F12" s="12" t="s">
        <v>11</v>
      </c>
      <c r="G12" s="12" t="s">
        <v>14</v>
      </c>
      <c r="H12" s="12" t="s">
        <v>16</v>
      </c>
      <c r="I12" s="12">
        <v>64</v>
      </c>
      <c r="J12" s="65" t="s">
        <v>301</v>
      </c>
    </row>
    <row r="13" spans="2:10" ht="33" hidden="1">
      <c r="B13" s="41">
        <f t="shared" si="0"/>
        <v>10</v>
      </c>
      <c r="C13" s="47" t="s">
        <v>254</v>
      </c>
      <c r="D13" s="41" t="s">
        <v>14</v>
      </c>
      <c r="E13" s="41" t="s">
        <v>14</v>
      </c>
      <c r="F13" s="41" t="s">
        <v>11</v>
      </c>
      <c r="G13" s="41" t="s">
        <v>14</v>
      </c>
      <c r="H13" s="41" t="s">
        <v>261</v>
      </c>
      <c r="I13" s="41">
        <v>255</v>
      </c>
      <c r="J13" s="44" t="s">
        <v>260</v>
      </c>
    </row>
    <row r="14" spans="2:10" hidden="1">
      <c r="B14" s="41">
        <f t="shared" si="0"/>
        <v>11</v>
      </c>
      <c r="C14" s="47" t="s">
        <v>255</v>
      </c>
      <c r="D14" s="41" t="s">
        <v>14</v>
      </c>
      <c r="E14" s="41" t="s">
        <v>14</v>
      </c>
      <c r="F14" s="41" t="s">
        <v>11</v>
      </c>
      <c r="G14" s="41" t="s">
        <v>14</v>
      </c>
      <c r="H14" s="41" t="s">
        <v>18</v>
      </c>
      <c r="I14" s="41">
        <v>255</v>
      </c>
      <c r="J14" s="44" t="s">
        <v>285</v>
      </c>
    </row>
    <row r="15" spans="2:10" hidden="1">
      <c r="B15" s="41">
        <f t="shared" si="0"/>
        <v>12</v>
      </c>
      <c r="C15" s="47" t="s">
        <v>257</v>
      </c>
      <c r="D15" s="41" t="s">
        <v>14</v>
      </c>
      <c r="E15" s="41" t="s">
        <v>14</v>
      </c>
      <c r="F15" s="41" t="s">
        <v>11</v>
      </c>
      <c r="G15" s="41" t="s">
        <v>14</v>
      </c>
      <c r="H15" s="41" t="s">
        <v>18</v>
      </c>
      <c r="I15" s="41">
        <v>255</v>
      </c>
      <c r="J15" s="44" t="s">
        <v>285</v>
      </c>
    </row>
    <row r="16" spans="2:10" hidden="1">
      <c r="B16" s="41">
        <f t="shared" si="0"/>
        <v>13</v>
      </c>
      <c r="C16" s="47" t="s">
        <v>258</v>
      </c>
      <c r="D16" s="41" t="s">
        <v>14</v>
      </c>
      <c r="E16" s="41" t="s">
        <v>14</v>
      </c>
      <c r="F16" s="41" t="s">
        <v>11</v>
      </c>
      <c r="G16" s="41" t="s">
        <v>14</v>
      </c>
      <c r="H16" s="41" t="s">
        <v>18</v>
      </c>
      <c r="I16" s="41">
        <v>255</v>
      </c>
      <c r="J16" s="44" t="s">
        <v>285</v>
      </c>
    </row>
    <row r="17" spans="2:10" ht="33" hidden="1">
      <c r="B17" s="41">
        <f t="shared" si="0"/>
        <v>14</v>
      </c>
      <c r="C17" s="11" t="s">
        <v>19</v>
      </c>
      <c r="D17" s="12" t="s">
        <v>14</v>
      </c>
      <c r="E17" s="12" t="s">
        <v>14</v>
      </c>
      <c r="F17" s="12" t="s">
        <v>11</v>
      </c>
      <c r="G17" s="12" t="s">
        <v>14</v>
      </c>
      <c r="H17" s="12" t="s">
        <v>20</v>
      </c>
      <c r="I17" s="12" t="s">
        <v>20</v>
      </c>
      <c r="J17" s="13" t="s">
        <v>245</v>
      </c>
    </row>
    <row r="18" spans="2:10" hidden="1">
      <c r="B18" s="41">
        <f t="shared" si="0"/>
        <v>15</v>
      </c>
      <c r="C18" s="43" t="s">
        <v>78</v>
      </c>
      <c r="D18" s="41" t="s">
        <v>14</v>
      </c>
      <c r="E18" s="41" t="s">
        <v>14</v>
      </c>
      <c r="F18" s="41" t="s">
        <v>11</v>
      </c>
      <c r="G18" s="41" t="s">
        <v>14</v>
      </c>
      <c r="H18" s="41" t="s">
        <v>18</v>
      </c>
      <c r="I18" s="41">
        <v>21844</v>
      </c>
      <c r="J18" s="44"/>
    </row>
    <row r="19" spans="2:10" hidden="1">
      <c r="B19" s="41">
        <f t="shared" si="0"/>
        <v>16</v>
      </c>
      <c r="C19" s="43" t="s">
        <v>36</v>
      </c>
      <c r="D19" s="41" t="s">
        <v>14</v>
      </c>
      <c r="E19" s="41" t="s">
        <v>14</v>
      </c>
      <c r="F19" s="41" t="s">
        <v>11</v>
      </c>
      <c r="G19" s="41" t="s">
        <v>14</v>
      </c>
      <c r="H19" s="41" t="s">
        <v>18</v>
      </c>
      <c r="I19" s="41">
        <v>21844</v>
      </c>
      <c r="J19" s="44"/>
    </row>
    <row r="20" spans="2:10" hidden="1">
      <c r="B20" s="10">
        <f t="shared" si="0"/>
        <v>17</v>
      </c>
      <c r="C20" s="11" t="s">
        <v>21</v>
      </c>
      <c r="D20" s="12" t="s">
        <v>14</v>
      </c>
      <c r="E20" s="12" t="s">
        <v>11</v>
      </c>
      <c r="F20" s="12" t="s">
        <v>11</v>
      </c>
      <c r="G20" s="12" t="s">
        <v>14</v>
      </c>
      <c r="H20" s="12" t="s">
        <v>16</v>
      </c>
      <c r="I20" s="12">
        <v>64</v>
      </c>
      <c r="J20" s="13" t="s">
        <v>244</v>
      </c>
    </row>
    <row r="21" spans="2:10" hidden="1">
      <c r="B21" s="10">
        <f t="shared" si="0"/>
        <v>18</v>
      </c>
      <c r="C21" s="11" t="s">
        <v>22</v>
      </c>
      <c r="D21" s="42" t="s">
        <v>14</v>
      </c>
      <c r="E21" s="42" t="s">
        <v>11</v>
      </c>
      <c r="F21" s="42" t="s">
        <v>11</v>
      </c>
      <c r="G21" s="42" t="s">
        <v>14</v>
      </c>
      <c r="H21" s="42" t="s">
        <v>16</v>
      </c>
      <c r="I21" s="42">
        <v>64</v>
      </c>
      <c r="J21" s="13" t="s">
        <v>244</v>
      </c>
    </row>
    <row r="22" spans="2:10" hidden="1">
      <c r="B22" s="10">
        <f t="shared" si="0"/>
        <v>19</v>
      </c>
      <c r="C22" s="11" t="s">
        <v>23</v>
      </c>
      <c r="D22" s="42" t="s">
        <v>14</v>
      </c>
      <c r="E22" s="42" t="s">
        <v>11</v>
      </c>
      <c r="F22" s="42" t="s">
        <v>11</v>
      </c>
      <c r="G22" s="42" t="s">
        <v>14</v>
      </c>
      <c r="H22" s="42" t="s">
        <v>16</v>
      </c>
      <c r="I22" s="42">
        <v>64</v>
      </c>
      <c r="J22" s="13" t="s">
        <v>244</v>
      </c>
    </row>
    <row r="23" spans="2:10">
      <c r="D23" s="27" t="s">
        <v>263</v>
      </c>
      <c r="E23" s="27" t="s">
        <v>263</v>
      </c>
    </row>
  </sheetData>
  <phoneticPr fontId="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43EA-9CB4-4535-A0FF-051F641C0CB9}">
  <sheetPr>
    <tabColor theme="9" tint="0.79998168889431442"/>
  </sheetPr>
  <dimension ref="A2:I49"/>
  <sheetViews>
    <sheetView showGridLines="0" zoomScale="90" zoomScaleNormal="90" workbookViewId="0">
      <selection activeCell="I15" sqref="I15"/>
    </sheetView>
  </sheetViews>
  <sheetFormatPr defaultColWidth="7.109375" defaultRowHeight="16.5"/>
  <cols>
    <col min="1" max="1" width="2.77734375" style="7" customWidth="1"/>
    <col min="2" max="2" width="3.109375" style="7" customWidth="1"/>
    <col min="3" max="3" width="23.77734375" style="7" customWidth="1"/>
    <col min="4" max="4" width="5.77734375" style="8" customWidth="1"/>
    <col min="5" max="6" width="5.6640625" style="8" hidden="1" customWidth="1"/>
    <col min="7" max="7" width="14.21875" style="8" customWidth="1"/>
    <col min="8" max="8" width="15.44140625" style="8" bestFit="1" customWidth="1"/>
    <col min="9" max="9" width="65.33203125" style="9" customWidth="1"/>
    <col min="10" max="12" width="7.109375" style="7"/>
    <col min="13" max="13" width="25.6640625" style="7" bestFit="1" customWidth="1"/>
    <col min="14" max="16384" width="7.109375" style="7"/>
  </cols>
  <sheetData>
    <row r="2" spans="1:9" ht="15" customHeight="1">
      <c r="B2" s="7" t="s">
        <v>38</v>
      </c>
    </row>
    <row r="3" spans="1:9">
      <c r="B3" s="33" t="s">
        <v>243</v>
      </c>
      <c r="C3" s="33" t="s">
        <v>1</v>
      </c>
      <c r="D3" s="33" t="s">
        <v>2</v>
      </c>
      <c r="E3" s="33" t="s">
        <v>3</v>
      </c>
      <c r="F3" s="33" t="s">
        <v>4</v>
      </c>
      <c r="G3" s="33" t="s">
        <v>6</v>
      </c>
      <c r="H3" s="33" t="s">
        <v>7</v>
      </c>
      <c r="I3" s="34" t="s">
        <v>8</v>
      </c>
    </row>
    <row r="4" spans="1:9">
      <c r="A4" s="46"/>
      <c r="B4" s="10">
        <f>ROW()-3</f>
        <v>1</v>
      </c>
      <c r="C4" s="11" t="s">
        <v>9</v>
      </c>
      <c r="D4" s="12" t="s">
        <v>10</v>
      </c>
      <c r="E4" s="12" t="s">
        <v>10</v>
      </c>
      <c r="F4" s="12" t="s">
        <v>10</v>
      </c>
      <c r="G4" s="12" t="s">
        <v>12</v>
      </c>
      <c r="H4" s="12">
        <v>1</v>
      </c>
      <c r="I4" s="13" t="s">
        <v>673</v>
      </c>
    </row>
    <row r="5" spans="1:9">
      <c r="A5" s="46"/>
      <c r="B5" s="10">
        <f t="shared" ref="B5:B44" si="0">ROW()-3</f>
        <v>2</v>
      </c>
      <c r="C5" s="14" t="s">
        <v>24</v>
      </c>
      <c r="D5" s="12" t="s">
        <v>10</v>
      </c>
      <c r="E5" s="12" t="s">
        <v>11</v>
      </c>
      <c r="F5" s="10" t="s">
        <v>11</v>
      </c>
      <c r="G5" s="10" t="s">
        <v>16</v>
      </c>
      <c r="H5" s="10">
        <v>64</v>
      </c>
      <c r="I5" s="13" t="s">
        <v>700</v>
      </c>
    </row>
    <row r="6" spans="1:9">
      <c r="A6" s="46"/>
      <c r="B6" s="10">
        <f t="shared" si="0"/>
        <v>3</v>
      </c>
      <c r="C6" s="31" t="s">
        <v>28</v>
      </c>
      <c r="D6" s="12" t="s">
        <v>10</v>
      </c>
      <c r="E6" s="12" t="s">
        <v>11</v>
      </c>
      <c r="F6" s="12" t="s">
        <v>11</v>
      </c>
      <c r="G6" s="12" t="s">
        <v>16</v>
      </c>
      <c r="H6" s="12">
        <v>64</v>
      </c>
      <c r="I6" s="13" t="s">
        <v>281</v>
      </c>
    </row>
    <row r="7" spans="1:9">
      <c r="A7" s="46"/>
      <c r="B7" s="10">
        <f t="shared" si="0"/>
        <v>4</v>
      </c>
      <c r="C7" s="31" t="s">
        <v>310</v>
      </c>
      <c r="D7" s="12" t="s">
        <v>10</v>
      </c>
      <c r="E7" s="12" t="s">
        <v>11</v>
      </c>
      <c r="F7" s="12" t="s">
        <v>11</v>
      </c>
      <c r="G7" s="12" t="s">
        <v>16</v>
      </c>
      <c r="H7" s="12">
        <v>64</v>
      </c>
      <c r="I7" s="13" t="s">
        <v>281</v>
      </c>
    </row>
    <row r="8" spans="1:9">
      <c r="B8" s="10">
        <f t="shared" si="0"/>
        <v>5</v>
      </c>
      <c r="C8" s="14" t="s">
        <v>70</v>
      </c>
      <c r="D8" s="62" t="s">
        <v>10</v>
      </c>
      <c r="E8" s="10" t="s">
        <v>14</v>
      </c>
      <c r="F8" s="10" t="s">
        <v>11</v>
      </c>
      <c r="G8" s="12" t="s">
        <v>16</v>
      </c>
      <c r="H8" s="12">
        <v>64</v>
      </c>
      <c r="I8" s="15" t="s">
        <v>670</v>
      </c>
    </row>
    <row r="9" spans="1:9">
      <c r="B9" s="10">
        <f t="shared" si="0"/>
        <v>6</v>
      </c>
      <c r="C9" s="11" t="s">
        <v>665</v>
      </c>
      <c r="D9" s="12" t="s">
        <v>14</v>
      </c>
      <c r="E9" s="12" t="s">
        <v>14</v>
      </c>
      <c r="F9" s="12" t="s">
        <v>11</v>
      </c>
      <c r="G9" s="12" t="s">
        <v>12</v>
      </c>
      <c r="H9" s="12">
        <v>1</v>
      </c>
      <c r="I9" s="13" t="s">
        <v>675</v>
      </c>
    </row>
    <row r="10" spans="1:9">
      <c r="A10" s="46"/>
      <c r="B10" s="10">
        <f t="shared" si="0"/>
        <v>7</v>
      </c>
      <c r="C10" s="14" t="s">
        <v>79</v>
      </c>
      <c r="D10" s="12" t="s">
        <v>10</v>
      </c>
      <c r="E10" s="10" t="s">
        <v>14</v>
      </c>
      <c r="F10" s="10" t="s">
        <v>11</v>
      </c>
      <c r="G10" s="10" t="s">
        <v>16</v>
      </c>
      <c r="H10" s="10">
        <v>64</v>
      </c>
      <c r="I10" s="15" t="s">
        <v>306</v>
      </c>
    </row>
    <row r="11" spans="1:9">
      <c r="A11" s="46"/>
      <c r="B11" s="10">
        <f t="shared" si="0"/>
        <v>8</v>
      </c>
      <c r="C11" s="14" t="s">
        <v>270</v>
      </c>
      <c r="D11" s="12" t="s">
        <v>10</v>
      </c>
      <c r="E11" s="10" t="s">
        <v>14</v>
      </c>
      <c r="F11" s="10" t="s">
        <v>11</v>
      </c>
      <c r="G11" s="10" t="s">
        <v>16</v>
      </c>
      <c r="H11" s="10">
        <v>64</v>
      </c>
      <c r="I11" s="15" t="s">
        <v>307</v>
      </c>
    </row>
    <row r="12" spans="1:9">
      <c r="A12" s="46"/>
      <c r="B12" s="10">
        <f t="shared" si="0"/>
        <v>9</v>
      </c>
      <c r="C12" s="14" t="s">
        <v>33</v>
      </c>
      <c r="D12" s="62" t="s">
        <v>10</v>
      </c>
      <c r="E12" s="10" t="s">
        <v>14</v>
      </c>
      <c r="F12" s="10" t="s">
        <v>11</v>
      </c>
      <c r="G12" s="10" t="s">
        <v>20</v>
      </c>
      <c r="H12" s="10">
        <v>1</v>
      </c>
      <c r="I12" s="15" t="s">
        <v>668</v>
      </c>
    </row>
    <row r="13" spans="1:9">
      <c r="A13" s="46"/>
      <c r="B13" s="10">
        <f t="shared" si="0"/>
        <v>10</v>
      </c>
      <c r="C13" s="14" t="s">
        <v>269</v>
      </c>
      <c r="D13" s="12" t="s">
        <v>10</v>
      </c>
      <c r="E13" s="10" t="s">
        <v>14</v>
      </c>
      <c r="F13" s="10" t="s">
        <v>11</v>
      </c>
      <c r="G13" s="10" t="s">
        <v>16</v>
      </c>
      <c r="H13" s="10">
        <v>64</v>
      </c>
      <c r="I13" s="15" t="s">
        <v>669</v>
      </c>
    </row>
    <row r="14" spans="1:9" ht="28.5" customHeight="1">
      <c r="A14" s="46"/>
      <c r="B14" s="10">
        <f t="shared" si="0"/>
        <v>11</v>
      </c>
      <c r="C14" s="14" t="s">
        <v>60</v>
      </c>
      <c r="D14" s="10" t="s">
        <v>10</v>
      </c>
      <c r="E14" s="10" t="s">
        <v>14</v>
      </c>
      <c r="F14" s="10" t="s">
        <v>11</v>
      </c>
      <c r="G14" s="10" t="s">
        <v>20</v>
      </c>
      <c r="H14" s="10">
        <v>10</v>
      </c>
      <c r="I14" s="110" t="s">
        <v>88</v>
      </c>
    </row>
    <row r="15" spans="1:9" ht="66">
      <c r="A15" s="46"/>
      <c r="B15" s="10">
        <f t="shared" si="0"/>
        <v>12</v>
      </c>
      <c r="C15" s="14" t="s">
        <v>80</v>
      </c>
      <c r="D15" s="10" t="s">
        <v>10</v>
      </c>
      <c r="E15" s="10" t="s">
        <v>14</v>
      </c>
      <c r="F15" s="10" t="s">
        <v>11</v>
      </c>
      <c r="G15" s="10" t="s">
        <v>20</v>
      </c>
      <c r="H15" s="10">
        <v>2</v>
      </c>
      <c r="I15" s="15" t="s">
        <v>250</v>
      </c>
    </row>
    <row r="16" spans="1:9" ht="66" hidden="1">
      <c r="B16" s="10">
        <f t="shared" si="0"/>
        <v>13</v>
      </c>
      <c r="C16" s="31" t="s">
        <v>27</v>
      </c>
      <c r="D16" s="12" t="s">
        <v>13</v>
      </c>
      <c r="E16" s="12" t="s">
        <v>11</v>
      </c>
      <c r="F16" s="12" t="s">
        <v>11</v>
      </c>
      <c r="G16" s="12" t="s">
        <v>12</v>
      </c>
      <c r="H16" s="12">
        <v>64</v>
      </c>
      <c r="I16" s="13" t="s">
        <v>247</v>
      </c>
    </row>
    <row r="17" spans="2:9" ht="33" hidden="1">
      <c r="B17" s="10">
        <f t="shared" si="0"/>
        <v>14</v>
      </c>
      <c r="C17" s="11" t="s">
        <v>40</v>
      </c>
      <c r="D17" s="12" t="s">
        <v>14</v>
      </c>
      <c r="E17" s="12" t="s">
        <v>14</v>
      </c>
      <c r="F17" s="12" t="s">
        <v>11</v>
      </c>
      <c r="G17" s="12" t="s">
        <v>20</v>
      </c>
      <c r="H17" s="12">
        <v>11</v>
      </c>
      <c r="I17" s="13" t="s">
        <v>245</v>
      </c>
    </row>
    <row r="18" spans="2:9" ht="16.5" hidden="1" customHeight="1">
      <c r="B18" s="10">
        <f t="shared" si="0"/>
        <v>15</v>
      </c>
      <c r="C18" s="14" t="s">
        <v>43</v>
      </c>
      <c r="D18" s="10" t="s">
        <v>13</v>
      </c>
      <c r="E18" s="10" t="s">
        <v>14</v>
      </c>
      <c r="F18" s="10" t="s">
        <v>11</v>
      </c>
      <c r="G18" s="10" t="s">
        <v>18</v>
      </c>
      <c r="H18" s="10">
        <v>255</v>
      </c>
      <c r="I18" s="15"/>
    </row>
    <row r="19" spans="2:9" ht="49.5" hidden="1">
      <c r="B19" s="10">
        <f t="shared" si="0"/>
        <v>16</v>
      </c>
      <c r="C19" s="14" t="s">
        <v>41</v>
      </c>
      <c r="D19" s="10" t="s">
        <v>14</v>
      </c>
      <c r="E19" s="10" t="s">
        <v>14</v>
      </c>
      <c r="F19" s="10" t="s">
        <v>11</v>
      </c>
      <c r="G19" s="12" t="s">
        <v>12</v>
      </c>
      <c r="H19" s="12">
        <v>1</v>
      </c>
      <c r="I19" s="13" t="s">
        <v>246</v>
      </c>
    </row>
    <row r="20" spans="2:9" ht="33" hidden="1">
      <c r="B20" s="10">
        <f t="shared" si="0"/>
        <v>17</v>
      </c>
      <c r="C20" s="14" t="s">
        <v>34</v>
      </c>
      <c r="D20" s="10" t="s">
        <v>14</v>
      </c>
      <c r="E20" s="10" t="s">
        <v>14</v>
      </c>
      <c r="F20" s="10" t="s">
        <v>11</v>
      </c>
      <c r="G20" s="32" t="s">
        <v>31</v>
      </c>
      <c r="H20" s="10" t="s">
        <v>32</v>
      </c>
      <c r="I20" s="15" t="s">
        <v>35</v>
      </c>
    </row>
    <row r="21" spans="2:9" hidden="1">
      <c r="B21" s="10">
        <f t="shared" si="0"/>
        <v>18</v>
      </c>
      <c r="C21" s="14" t="s">
        <v>71</v>
      </c>
      <c r="D21" s="10" t="s">
        <v>14</v>
      </c>
      <c r="E21" s="10" t="s">
        <v>14</v>
      </c>
      <c r="F21" s="10" t="s">
        <v>11</v>
      </c>
      <c r="G21" s="10" t="s">
        <v>45</v>
      </c>
      <c r="H21" s="10">
        <v>20</v>
      </c>
      <c r="I21" s="15" t="s">
        <v>81</v>
      </c>
    </row>
    <row r="22" spans="2:9" hidden="1">
      <c r="B22" s="10">
        <f t="shared" si="0"/>
        <v>19</v>
      </c>
      <c r="C22" s="14" t="s">
        <v>72</v>
      </c>
      <c r="D22" s="10" t="s">
        <v>14</v>
      </c>
      <c r="E22" s="10" t="s">
        <v>14</v>
      </c>
      <c r="F22" s="10" t="s">
        <v>11</v>
      </c>
      <c r="G22" s="10" t="s">
        <v>18</v>
      </c>
      <c r="H22" s="10">
        <v>255</v>
      </c>
      <c r="I22" s="15"/>
    </row>
    <row r="23" spans="2:9" hidden="1">
      <c r="B23" s="10">
        <f t="shared" si="0"/>
        <v>20</v>
      </c>
      <c r="C23" s="14" t="s">
        <v>73</v>
      </c>
      <c r="D23" s="10" t="s">
        <v>14</v>
      </c>
      <c r="E23" s="10" t="s">
        <v>14</v>
      </c>
      <c r="F23" s="10" t="s">
        <v>11</v>
      </c>
      <c r="G23" s="10" t="s">
        <v>45</v>
      </c>
      <c r="H23" s="10">
        <v>20</v>
      </c>
      <c r="I23" s="15" t="s">
        <v>81</v>
      </c>
    </row>
    <row r="24" spans="2:9" hidden="1">
      <c r="B24" s="10">
        <f t="shared" si="0"/>
        <v>21</v>
      </c>
      <c r="C24" s="14" t="s">
        <v>74</v>
      </c>
      <c r="D24" s="10" t="s">
        <v>14</v>
      </c>
      <c r="E24" s="10" t="s">
        <v>14</v>
      </c>
      <c r="F24" s="10" t="s">
        <v>11</v>
      </c>
      <c r="G24" s="10" t="s">
        <v>18</v>
      </c>
      <c r="H24" s="10">
        <v>255</v>
      </c>
      <c r="I24" s="15"/>
    </row>
    <row r="25" spans="2:9" hidden="1">
      <c r="B25" s="10">
        <f t="shared" si="0"/>
        <v>22</v>
      </c>
      <c r="C25" s="14" t="s">
        <v>75</v>
      </c>
      <c r="D25" s="10" t="s">
        <v>14</v>
      </c>
      <c r="E25" s="10" t="s">
        <v>14</v>
      </c>
      <c r="F25" s="10" t="s">
        <v>11</v>
      </c>
      <c r="G25" s="10" t="s">
        <v>45</v>
      </c>
      <c r="H25" s="10">
        <v>20</v>
      </c>
      <c r="I25" s="15" t="s">
        <v>86</v>
      </c>
    </row>
    <row r="26" spans="2:9" ht="49.5" hidden="1">
      <c r="B26" s="10">
        <f t="shared" si="0"/>
        <v>23</v>
      </c>
      <c r="C26" s="14" t="s">
        <v>76</v>
      </c>
      <c r="D26" s="10" t="s">
        <v>14</v>
      </c>
      <c r="E26" s="10" t="s">
        <v>14</v>
      </c>
      <c r="F26" s="10" t="s">
        <v>11</v>
      </c>
      <c r="G26" s="10" t="s">
        <v>45</v>
      </c>
      <c r="H26" s="10">
        <v>20</v>
      </c>
      <c r="I26" s="15" t="s">
        <v>87</v>
      </c>
    </row>
    <row r="27" spans="2:9" hidden="1">
      <c r="B27" s="10">
        <f t="shared" si="0"/>
        <v>24</v>
      </c>
      <c r="C27" s="14" t="s">
        <v>77</v>
      </c>
      <c r="D27" s="10" t="s">
        <v>14</v>
      </c>
      <c r="E27" s="10" t="s">
        <v>14</v>
      </c>
      <c r="F27" s="10" t="s">
        <v>11</v>
      </c>
      <c r="G27" s="12" t="s">
        <v>18</v>
      </c>
      <c r="H27" s="10">
        <v>1024</v>
      </c>
      <c r="I27" s="15"/>
    </row>
    <row r="28" spans="2:9" hidden="1">
      <c r="B28" s="10">
        <f t="shared" si="0"/>
        <v>25</v>
      </c>
      <c r="C28" s="14" t="s">
        <v>85</v>
      </c>
      <c r="D28" s="10" t="s">
        <v>14</v>
      </c>
      <c r="E28" s="10" t="s">
        <v>14</v>
      </c>
      <c r="F28" s="10" t="s">
        <v>11</v>
      </c>
      <c r="G28" s="10" t="s">
        <v>20</v>
      </c>
      <c r="H28" s="10">
        <v>10</v>
      </c>
      <c r="I28" s="15" t="s">
        <v>248</v>
      </c>
    </row>
    <row r="29" spans="2:9" hidden="1">
      <c r="B29" s="10">
        <f t="shared" si="0"/>
        <v>26</v>
      </c>
      <c r="C29" s="14" t="s">
        <v>52</v>
      </c>
      <c r="D29" s="10" t="s">
        <v>14</v>
      </c>
      <c r="E29" s="10" t="s">
        <v>14</v>
      </c>
      <c r="F29" s="10" t="s">
        <v>11</v>
      </c>
      <c r="G29" s="10" t="s">
        <v>20</v>
      </c>
      <c r="H29" s="10">
        <v>10</v>
      </c>
      <c r="I29" s="15" t="s">
        <v>248</v>
      </c>
    </row>
    <row r="30" spans="2:9" hidden="1">
      <c r="B30" s="10">
        <f t="shared" si="0"/>
        <v>27</v>
      </c>
      <c r="C30" s="14" t="s">
        <v>53</v>
      </c>
      <c r="D30" s="10" t="s">
        <v>14</v>
      </c>
      <c r="E30" s="10" t="s">
        <v>14</v>
      </c>
      <c r="F30" s="10" t="s">
        <v>11</v>
      </c>
      <c r="G30" s="10" t="s">
        <v>20</v>
      </c>
      <c r="H30" s="10">
        <v>10</v>
      </c>
      <c r="I30" s="15" t="s">
        <v>248</v>
      </c>
    </row>
    <row r="31" spans="2:9" hidden="1">
      <c r="B31" s="10">
        <f t="shared" si="0"/>
        <v>28</v>
      </c>
      <c r="C31" s="14" t="s">
        <v>54</v>
      </c>
      <c r="D31" s="10" t="s">
        <v>14</v>
      </c>
      <c r="E31" s="10" t="s">
        <v>14</v>
      </c>
      <c r="F31" s="10" t="s">
        <v>11</v>
      </c>
      <c r="G31" s="10" t="s">
        <v>20</v>
      </c>
      <c r="H31" s="10">
        <v>10</v>
      </c>
      <c r="I31" s="15" t="s">
        <v>248</v>
      </c>
    </row>
    <row r="32" spans="2:9" hidden="1">
      <c r="B32" s="10">
        <f t="shared" si="0"/>
        <v>29</v>
      </c>
      <c r="C32" s="14" t="s">
        <v>55</v>
      </c>
      <c r="D32" s="10" t="s">
        <v>14</v>
      </c>
      <c r="E32" s="10" t="s">
        <v>14</v>
      </c>
      <c r="F32" s="10" t="s">
        <v>11</v>
      </c>
      <c r="G32" s="10" t="s">
        <v>20</v>
      </c>
      <c r="H32" s="10">
        <v>10</v>
      </c>
      <c r="I32" s="15" t="s">
        <v>248</v>
      </c>
    </row>
    <row r="33" spans="2:9" hidden="1">
      <c r="B33" s="10">
        <f t="shared" si="0"/>
        <v>30</v>
      </c>
      <c r="C33" s="14" t="s">
        <v>56</v>
      </c>
      <c r="D33" s="10" t="s">
        <v>14</v>
      </c>
      <c r="E33" s="10" t="s">
        <v>14</v>
      </c>
      <c r="F33" s="10" t="s">
        <v>11</v>
      </c>
      <c r="G33" s="10" t="s">
        <v>20</v>
      </c>
      <c r="H33" s="10">
        <v>10</v>
      </c>
      <c r="I33" s="15" t="s">
        <v>248</v>
      </c>
    </row>
    <row r="34" spans="2:9" ht="16.5" hidden="1" customHeight="1">
      <c r="B34" s="10">
        <f t="shared" si="0"/>
        <v>31</v>
      </c>
      <c r="C34" s="11" t="s">
        <v>68</v>
      </c>
      <c r="D34" s="12" t="s">
        <v>14</v>
      </c>
      <c r="E34" s="12" t="s">
        <v>13</v>
      </c>
      <c r="F34" s="12" t="s">
        <v>10</v>
      </c>
      <c r="G34" s="12" t="s">
        <v>12</v>
      </c>
      <c r="H34" s="12">
        <v>64</v>
      </c>
      <c r="I34" s="13" t="s">
        <v>69</v>
      </c>
    </row>
    <row r="35" spans="2:9" ht="16.5" hidden="1" customHeight="1">
      <c r="B35" s="10">
        <f t="shared" si="0"/>
        <v>32</v>
      </c>
      <c r="C35" s="14" t="s">
        <v>44</v>
      </c>
      <c r="D35" s="10" t="s">
        <v>14</v>
      </c>
      <c r="E35" s="10" t="s">
        <v>14</v>
      </c>
      <c r="F35" s="10" t="s">
        <v>11</v>
      </c>
      <c r="G35" s="10" t="s">
        <v>45</v>
      </c>
      <c r="H35" s="10">
        <v>20</v>
      </c>
      <c r="I35" s="15" t="s">
        <v>82</v>
      </c>
    </row>
    <row r="36" spans="2:9" ht="49.5" hidden="1" customHeight="1">
      <c r="B36" s="10">
        <f t="shared" si="0"/>
        <v>33</v>
      </c>
      <c r="C36" s="14" t="s">
        <v>46</v>
      </c>
      <c r="D36" s="10" t="s">
        <v>14</v>
      </c>
      <c r="E36" s="10" t="s">
        <v>14</v>
      </c>
      <c r="F36" s="10" t="s">
        <v>11</v>
      </c>
      <c r="G36" s="10" t="s">
        <v>45</v>
      </c>
      <c r="H36" s="10">
        <v>20</v>
      </c>
      <c r="I36" s="15" t="s">
        <v>47</v>
      </c>
    </row>
    <row r="37" spans="2:9" ht="16.5" hidden="1" customHeight="1">
      <c r="B37" s="10">
        <f t="shared" si="0"/>
        <v>34</v>
      </c>
      <c r="C37" s="14" t="s">
        <v>48</v>
      </c>
      <c r="D37" s="10" t="s">
        <v>14</v>
      </c>
      <c r="E37" s="10" t="s">
        <v>14</v>
      </c>
      <c r="F37" s="10" t="s">
        <v>11</v>
      </c>
      <c r="G37" s="10" t="s">
        <v>45</v>
      </c>
      <c r="H37" s="10">
        <v>20</v>
      </c>
      <c r="I37" s="15" t="s">
        <v>49</v>
      </c>
    </row>
    <row r="38" spans="2:9" ht="49.5" hidden="1" customHeight="1">
      <c r="B38" s="10">
        <f t="shared" si="0"/>
        <v>35</v>
      </c>
      <c r="C38" s="14" t="s">
        <v>50</v>
      </c>
      <c r="D38" s="10" t="s">
        <v>14</v>
      </c>
      <c r="E38" s="10" t="s">
        <v>14</v>
      </c>
      <c r="F38" s="10" t="s">
        <v>11</v>
      </c>
      <c r="G38" s="10" t="s">
        <v>45</v>
      </c>
      <c r="H38" s="10">
        <v>20</v>
      </c>
      <c r="I38" s="15" t="s">
        <v>51</v>
      </c>
    </row>
    <row r="39" spans="2:9" hidden="1">
      <c r="B39" s="10">
        <f t="shared" si="0"/>
        <v>36</v>
      </c>
      <c r="C39" s="14" t="s">
        <v>58</v>
      </c>
      <c r="D39" s="10" t="s">
        <v>14</v>
      </c>
      <c r="E39" s="10" t="s">
        <v>14</v>
      </c>
      <c r="F39" s="10" t="s">
        <v>11</v>
      </c>
      <c r="G39" s="10" t="s">
        <v>16</v>
      </c>
      <c r="H39" s="10">
        <v>64</v>
      </c>
      <c r="I39" s="15"/>
    </row>
    <row r="40" spans="2:9" hidden="1">
      <c r="B40" s="10">
        <f t="shared" si="0"/>
        <v>37</v>
      </c>
      <c r="C40" s="14" t="s">
        <v>59</v>
      </c>
      <c r="D40" s="10" t="s">
        <v>14</v>
      </c>
      <c r="E40" s="10" t="s">
        <v>14</v>
      </c>
      <c r="F40" s="10" t="s">
        <v>11</v>
      </c>
      <c r="G40" s="10" t="s">
        <v>20</v>
      </c>
      <c r="H40" s="10">
        <v>10</v>
      </c>
      <c r="I40" s="15" t="s">
        <v>88</v>
      </c>
    </row>
    <row r="41" spans="2:9" hidden="1">
      <c r="B41" s="10">
        <f t="shared" si="0"/>
        <v>38</v>
      </c>
      <c r="C41" s="14" t="s">
        <v>61</v>
      </c>
      <c r="D41" s="10" t="s">
        <v>14</v>
      </c>
      <c r="E41" s="10" t="s">
        <v>14</v>
      </c>
      <c r="F41" s="10" t="s">
        <v>11</v>
      </c>
      <c r="G41" s="10" t="s">
        <v>20</v>
      </c>
      <c r="H41" s="10">
        <v>10</v>
      </c>
      <c r="I41" s="15" t="s">
        <v>88</v>
      </c>
    </row>
    <row r="42" spans="2:9" ht="66" hidden="1">
      <c r="B42" s="10">
        <f t="shared" si="0"/>
        <v>39</v>
      </c>
      <c r="C42" s="14" t="s">
        <v>62</v>
      </c>
      <c r="D42" s="10" t="s">
        <v>14</v>
      </c>
      <c r="E42" s="10" t="s">
        <v>14</v>
      </c>
      <c r="F42" s="10" t="s">
        <v>11</v>
      </c>
      <c r="G42" s="10" t="s">
        <v>20</v>
      </c>
      <c r="H42" s="10">
        <v>10</v>
      </c>
      <c r="I42" s="15" t="s">
        <v>249</v>
      </c>
    </row>
    <row r="43" spans="2:9" hidden="1">
      <c r="B43" s="10">
        <f t="shared" si="0"/>
        <v>40</v>
      </c>
      <c r="C43" s="14" t="s">
        <v>63</v>
      </c>
      <c r="D43" s="10" t="s">
        <v>14</v>
      </c>
      <c r="E43" s="10" t="s">
        <v>14</v>
      </c>
      <c r="F43" s="10" t="s">
        <v>11</v>
      </c>
      <c r="G43" s="10" t="s">
        <v>20</v>
      </c>
      <c r="H43" s="10">
        <v>10</v>
      </c>
      <c r="I43" s="15" t="s">
        <v>88</v>
      </c>
    </row>
    <row r="44" spans="2:9" ht="34.5" hidden="1" customHeight="1">
      <c r="B44" s="10">
        <f t="shared" si="0"/>
        <v>41</v>
      </c>
      <c r="C44" s="14" t="s">
        <v>57</v>
      </c>
      <c r="D44" s="10" t="s">
        <v>14</v>
      </c>
      <c r="E44" s="10" t="s">
        <v>14</v>
      </c>
      <c r="F44" s="10" t="s">
        <v>11</v>
      </c>
      <c r="G44" s="10" t="s">
        <v>16</v>
      </c>
      <c r="H44" s="10">
        <v>64</v>
      </c>
      <c r="I44" s="15" t="s">
        <v>642</v>
      </c>
    </row>
    <row r="45" spans="2:9">
      <c r="D45" s="27" t="s">
        <v>263</v>
      </c>
    </row>
    <row r="46" spans="2:9">
      <c r="C46" s="17"/>
    </row>
    <row r="47" spans="2:9">
      <c r="C47" s="17"/>
    </row>
    <row r="48" spans="2:9">
      <c r="C48" s="17"/>
    </row>
    <row r="49" spans="3:3">
      <c r="C49" s="17"/>
    </row>
  </sheetData>
  <phoneticPr fontId="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E09DB-208C-4283-B422-BCDDD7795194}">
  <sheetPr>
    <tabColor theme="8" tint="0.79998168889431442"/>
  </sheetPr>
  <dimension ref="A1:H38"/>
  <sheetViews>
    <sheetView topLeftCell="A11" zoomScale="90" zoomScaleNormal="90" workbookViewId="0">
      <selection activeCell="H30" sqref="H30"/>
    </sheetView>
  </sheetViews>
  <sheetFormatPr defaultRowHeight="16.5"/>
  <cols>
    <col min="1" max="1" width="3.33203125" style="27" customWidth="1"/>
    <col min="2" max="2" width="4" style="27" customWidth="1"/>
    <col min="3" max="3" width="25.44140625" style="27" customWidth="1"/>
    <col min="4" max="4" width="7.88671875" style="27" customWidth="1"/>
    <col min="5" max="5" width="7.6640625" style="27" hidden="1" customWidth="1"/>
    <col min="6" max="6" width="12.109375" style="28" bestFit="1" customWidth="1"/>
    <col min="7" max="7" width="11.77734375" style="27" customWidth="1"/>
    <col min="8" max="8" width="95" style="27" customWidth="1"/>
    <col min="9" max="16384" width="8.88671875" style="27"/>
  </cols>
  <sheetData>
    <row r="1" spans="2:8" ht="12" customHeight="1"/>
    <row r="2" spans="2:8">
      <c r="B2" s="27" t="s">
        <v>105</v>
      </c>
    </row>
    <row r="3" spans="2:8">
      <c r="B3" s="20" t="s">
        <v>148</v>
      </c>
      <c r="C3" s="21" t="s">
        <v>104</v>
      </c>
      <c r="D3" s="22" t="s">
        <v>103</v>
      </c>
      <c r="E3" s="22" t="s">
        <v>106</v>
      </c>
      <c r="F3" s="22" t="s">
        <v>102</v>
      </c>
      <c r="G3" s="21" t="s">
        <v>101</v>
      </c>
      <c r="H3" s="21" t="s">
        <v>100</v>
      </c>
    </row>
    <row r="4" spans="2:8">
      <c r="B4" s="23">
        <f>ROW()-3</f>
        <v>1</v>
      </c>
      <c r="C4" s="25" t="s">
        <v>181</v>
      </c>
      <c r="D4" s="29" t="s">
        <v>10</v>
      </c>
      <c r="E4" s="29" t="s">
        <v>10</v>
      </c>
      <c r="F4" s="29" t="s">
        <v>12</v>
      </c>
      <c r="G4" s="29">
        <v>1</v>
      </c>
      <c r="H4" s="13" t="s">
        <v>673</v>
      </c>
    </row>
    <row r="5" spans="2:8" hidden="1">
      <c r="B5" s="23">
        <f t="shared" ref="B5:B32" si="0">ROW()-3</f>
        <v>2</v>
      </c>
      <c r="C5" s="25" t="s">
        <v>159</v>
      </c>
      <c r="D5" s="29" t="s">
        <v>11</v>
      </c>
      <c r="E5" s="29" t="s">
        <v>10</v>
      </c>
      <c r="F5" s="29" t="s">
        <v>20</v>
      </c>
      <c r="G5" s="29">
        <v>64</v>
      </c>
      <c r="H5" s="25" t="s">
        <v>107</v>
      </c>
    </row>
    <row r="6" spans="2:8">
      <c r="B6" s="23">
        <f>ROW()-4</f>
        <v>2</v>
      </c>
      <c r="C6" s="25" t="s">
        <v>183</v>
      </c>
      <c r="D6" s="29" t="s">
        <v>14</v>
      </c>
      <c r="E6" s="29" t="s">
        <v>14</v>
      </c>
      <c r="F6" s="29" t="s">
        <v>18</v>
      </c>
      <c r="G6" s="35">
        <v>80</v>
      </c>
      <c r="H6" s="24" t="s">
        <v>187</v>
      </c>
    </row>
    <row r="7" spans="2:8">
      <c r="B7" s="23">
        <f t="shared" ref="B7:B30" si="1">ROW()-4</f>
        <v>3</v>
      </c>
      <c r="C7" s="25" t="s">
        <v>184</v>
      </c>
      <c r="D7" s="29" t="s">
        <v>14</v>
      </c>
      <c r="E7" s="29" t="s">
        <v>14</v>
      </c>
      <c r="F7" s="29" t="s">
        <v>18</v>
      </c>
      <c r="G7" s="35">
        <v>80</v>
      </c>
      <c r="H7" s="24" t="s">
        <v>188</v>
      </c>
    </row>
    <row r="8" spans="2:8">
      <c r="B8" s="23">
        <f t="shared" si="1"/>
        <v>4</v>
      </c>
      <c r="C8" s="25" t="s">
        <v>185</v>
      </c>
      <c r="D8" s="29" t="s">
        <v>14</v>
      </c>
      <c r="E8" s="29" t="s">
        <v>14</v>
      </c>
      <c r="F8" s="29" t="s">
        <v>18</v>
      </c>
      <c r="G8" s="35">
        <v>80</v>
      </c>
      <c r="H8" s="24" t="s">
        <v>189</v>
      </c>
    </row>
    <row r="9" spans="2:8">
      <c r="B9" s="23">
        <f t="shared" si="1"/>
        <v>5</v>
      </c>
      <c r="C9" s="25" t="s">
        <v>186</v>
      </c>
      <c r="D9" s="29" t="s">
        <v>14</v>
      </c>
      <c r="E9" s="29" t="s">
        <v>14</v>
      </c>
      <c r="F9" s="29" t="s">
        <v>18</v>
      </c>
      <c r="G9" s="35">
        <v>80</v>
      </c>
      <c r="H9" s="24" t="s">
        <v>190</v>
      </c>
    </row>
    <row r="10" spans="2:8">
      <c r="B10" s="23">
        <f t="shared" si="1"/>
        <v>6</v>
      </c>
      <c r="C10" s="25" t="s">
        <v>204</v>
      </c>
      <c r="D10" s="29" t="s">
        <v>13</v>
      </c>
      <c r="E10" s="29" t="s">
        <v>14</v>
      </c>
      <c r="F10" s="35" t="s">
        <v>45</v>
      </c>
      <c r="G10" s="36">
        <v>255</v>
      </c>
      <c r="H10" s="25" t="s">
        <v>108</v>
      </c>
    </row>
    <row r="11" spans="2:8">
      <c r="B11" s="23">
        <f t="shared" si="1"/>
        <v>7</v>
      </c>
      <c r="C11" s="25" t="s">
        <v>205</v>
      </c>
      <c r="D11" s="29" t="s">
        <v>13</v>
      </c>
      <c r="E11" s="29" t="s">
        <v>14</v>
      </c>
      <c r="F11" s="35" t="s">
        <v>45</v>
      </c>
      <c r="G11" s="36">
        <v>255</v>
      </c>
      <c r="H11" s="25" t="s">
        <v>206</v>
      </c>
    </row>
    <row r="12" spans="2:8">
      <c r="B12" s="23">
        <f t="shared" si="1"/>
        <v>8</v>
      </c>
      <c r="C12" s="25" t="s">
        <v>207</v>
      </c>
      <c r="D12" s="29" t="s">
        <v>13</v>
      </c>
      <c r="E12" s="29" t="s">
        <v>14</v>
      </c>
      <c r="F12" s="35" t="s">
        <v>12</v>
      </c>
      <c r="G12" s="36">
        <v>9</v>
      </c>
      <c r="H12" s="25" t="s">
        <v>208</v>
      </c>
    </row>
    <row r="13" spans="2:8">
      <c r="B13" s="23">
        <f t="shared" si="1"/>
        <v>9</v>
      </c>
      <c r="C13" s="25" t="s">
        <v>109</v>
      </c>
      <c r="D13" s="29" t="s">
        <v>14</v>
      </c>
      <c r="E13" s="29" t="s">
        <v>14</v>
      </c>
      <c r="F13" s="29" t="s">
        <v>16</v>
      </c>
      <c r="G13" s="29">
        <v>8</v>
      </c>
      <c r="H13" s="30" t="s">
        <v>110</v>
      </c>
    </row>
    <row r="14" spans="2:8">
      <c r="B14" s="23">
        <f t="shared" si="1"/>
        <v>10</v>
      </c>
      <c r="C14" s="25" t="s">
        <v>111</v>
      </c>
      <c r="D14" s="29" t="s">
        <v>14</v>
      </c>
      <c r="E14" s="29" t="s">
        <v>14</v>
      </c>
      <c r="F14" s="29" t="s">
        <v>20</v>
      </c>
      <c r="G14" s="29">
        <v>5</v>
      </c>
      <c r="H14" s="25" t="s">
        <v>112</v>
      </c>
    </row>
    <row r="15" spans="2:8">
      <c r="B15" s="23">
        <f t="shared" si="1"/>
        <v>11</v>
      </c>
      <c r="C15" s="25" t="s">
        <v>113</v>
      </c>
      <c r="D15" s="29" t="s">
        <v>14</v>
      </c>
      <c r="E15" s="29" t="s">
        <v>14</v>
      </c>
      <c r="F15" s="29" t="s">
        <v>20</v>
      </c>
      <c r="G15" s="29">
        <v>15</v>
      </c>
      <c r="H15" s="25" t="s">
        <v>114</v>
      </c>
    </row>
    <row r="16" spans="2:8">
      <c r="B16" s="23">
        <f t="shared" si="1"/>
        <v>12</v>
      </c>
      <c r="C16" s="25" t="s">
        <v>115</v>
      </c>
      <c r="D16" s="29" t="s">
        <v>14</v>
      </c>
      <c r="E16" s="29" t="s">
        <v>14</v>
      </c>
      <c r="F16" s="29" t="s">
        <v>20</v>
      </c>
      <c r="G16" s="29">
        <v>15</v>
      </c>
      <c r="H16" s="25" t="s">
        <v>116</v>
      </c>
    </row>
    <row r="17" spans="2:8">
      <c r="B17" s="23">
        <f t="shared" si="1"/>
        <v>13</v>
      </c>
      <c r="C17" s="25" t="s">
        <v>117</v>
      </c>
      <c r="D17" s="29" t="s">
        <v>14</v>
      </c>
      <c r="E17" s="29" t="s">
        <v>14</v>
      </c>
      <c r="F17" s="29" t="s">
        <v>20</v>
      </c>
      <c r="G17" s="29">
        <v>15</v>
      </c>
      <c r="H17" s="25" t="s">
        <v>118</v>
      </c>
    </row>
    <row r="18" spans="2:8">
      <c r="B18" s="23">
        <f t="shared" si="1"/>
        <v>14</v>
      </c>
      <c r="C18" s="25" t="s">
        <v>119</v>
      </c>
      <c r="D18" s="29" t="s">
        <v>14</v>
      </c>
      <c r="E18" s="29" t="s">
        <v>14</v>
      </c>
      <c r="F18" s="29" t="s">
        <v>20</v>
      </c>
      <c r="G18" s="29">
        <v>9</v>
      </c>
      <c r="H18" s="25" t="s">
        <v>120</v>
      </c>
    </row>
    <row r="19" spans="2:8">
      <c r="B19" s="23">
        <f t="shared" si="1"/>
        <v>15</v>
      </c>
      <c r="C19" s="25" t="s">
        <v>121</v>
      </c>
      <c r="D19" s="29" t="s">
        <v>14</v>
      </c>
      <c r="E19" s="29" t="s">
        <v>14</v>
      </c>
      <c r="F19" s="29" t="s">
        <v>122</v>
      </c>
      <c r="G19" s="29">
        <v>4</v>
      </c>
      <c r="H19" s="25" t="s">
        <v>123</v>
      </c>
    </row>
    <row r="20" spans="2:8">
      <c r="B20" s="23">
        <f t="shared" si="1"/>
        <v>16</v>
      </c>
      <c r="C20" s="25" t="s">
        <v>124</v>
      </c>
      <c r="D20" s="29" t="s">
        <v>14</v>
      </c>
      <c r="E20" s="29" t="s">
        <v>14</v>
      </c>
      <c r="F20" s="29" t="s">
        <v>18</v>
      </c>
      <c r="G20" s="29">
        <v>255</v>
      </c>
      <c r="H20" s="25" t="s">
        <v>125</v>
      </c>
    </row>
    <row r="21" spans="2:8">
      <c r="B21" s="23">
        <f t="shared" si="1"/>
        <v>17</v>
      </c>
      <c r="C21" s="25" t="s">
        <v>126</v>
      </c>
      <c r="D21" s="29" t="s">
        <v>14</v>
      </c>
      <c r="E21" s="29" t="s">
        <v>14</v>
      </c>
      <c r="F21" s="29" t="s">
        <v>18</v>
      </c>
      <c r="G21" s="29">
        <v>255</v>
      </c>
      <c r="H21" s="25" t="s">
        <v>127</v>
      </c>
    </row>
    <row r="22" spans="2:8">
      <c r="B22" s="23">
        <f t="shared" si="1"/>
        <v>18</v>
      </c>
      <c r="C22" s="25" t="s">
        <v>128</v>
      </c>
      <c r="D22" s="29" t="s">
        <v>14</v>
      </c>
      <c r="E22" s="29" t="s">
        <v>14</v>
      </c>
      <c r="F22" s="29" t="s">
        <v>18</v>
      </c>
      <c r="G22" s="29">
        <v>255</v>
      </c>
      <c r="H22" s="25" t="s">
        <v>129</v>
      </c>
    </row>
    <row r="23" spans="2:8">
      <c r="B23" s="23">
        <f t="shared" si="1"/>
        <v>19</v>
      </c>
      <c r="C23" s="25" t="s">
        <v>130</v>
      </c>
      <c r="D23" s="29" t="s">
        <v>14</v>
      </c>
      <c r="E23" s="29" t="s">
        <v>14</v>
      </c>
      <c r="F23" s="29" t="s">
        <v>18</v>
      </c>
      <c r="G23" s="29">
        <v>255</v>
      </c>
      <c r="H23" s="25" t="s">
        <v>131</v>
      </c>
    </row>
    <row r="24" spans="2:8">
      <c r="B24" s="23">
        <f t="shared" si="1"/>
        <v>20</v>
      </c>
      <c r="C24" s="25" t="s">
        <v>132</v>
      </c>
      <c r="D24" s="29" t="s">
        <v>14</v>
      </c>
      <c r="E24" s="29" t="s">
        <v>14</v>
      </c>
      <c r="F24" s="29" t="s">
        <v>18</v>
      </c>
      <c r="G24" s="29">
        <v>255</v>
      </c>
      <c r="H24" s="25" t="s">
        <v>133</v>
      </c>
    </row>
    <row r="25" spans="2:8">
      <c r="B25" s="23">
        <f t="shared" si="1"/>
        <v>21</v>
      </c>
      <c r="C25" s="25" t="s">
        <v>134</v>
      </c>
      <c r="D25" s="29" t="s">
        <v>14</v>
      </c>
      <c r="E25" s="29" t="s">
        <v>14</v>
      </c>
      <c r="F25" s="29" t="s">
        <v>18</v>
      </c>
      <c r="G25" s="29">
        <v>255</v>
      </c>
      <c r="H25" s="25" t="s">
        <v>135</v>
      </c>
    </row>
    <row r="26" spans="2:8">
      <c r="B26" s="23">
        <f t="shared" si="1"/>
        <v>22</v>
      </c>
      <c r="C26" s="25" t="s">
        <v>136</v>
      </c>
      <c r="D26" s="29" t="s">
        <v>14</v>
      </c>
      <c r="E26" s="29" t="s">
        <v>14</v>
      </c>
      <c r="F26" s="29" t="s">
        <v>18</v>
      </c>
      <c r="G26" s="29">
        <v>255</v>
      </c>
      <c r="H26" s="25" t="s">
        <v>137</v>
      </c>
    </row>
    <row r="27" spans="2:8">
      <c r="B27" s="23">
        <f t="shared" si="1"/>
        <v>23</v>
      </c>
      <c r="C27" s="25" t="s">
        <v>138</v>
      </c>
      <c r="D27" s="29" t="s">
        <v>149</v>
      </c>
      <c r="E27" s="29" t="s">
        <v>11</v>
      </c>
      <c r="F27" s="29" t="s">
        <v>16</v>
      </c>
      <c r="G27" s="29">
        <v>64</v>
      </c>
      <c r="H27" s="69" t="s">
        <v>303</v>
      </c>
    </row>
    <row r="28" spans="2:8">
      <c r="B28" s="23">
        <f t="shared" si="1"/>
        <v>24</v>
      </c>
      <c r="C28" s="25" t="s">
        <v>139</v>
      </c>
      <c r="D28" s="29" t="s">
        <v>14</v>
      </c>
      <c r="E28" s="29" t="s">
        <v>11</v>
      </c>
      <c r="F28" s="29" t="s">
        <v>16</v>
      </c>
      <c r="G28" s="29">
        <v>20</v>
      </c>
      <c r="H28" s="25" t="s">
        <v>140</v>
      </c>
    </row>
    <row r="29" spans="2:8">
      <c r="B29" s="23">
        <f t="shared" si="1"/>
        <v>25</v>
      </c>
      <c r="C29" s="25" t="s">
        <v>143</v>
      </c>
      <c r="D29" s="29" t="s">
        <v>14</v>
      </c>
      <c r="E29" s="29" t="s">
        <v>14</v>
      </c>
      <c r="F29" s="29" t="s">
        <v>18</v>
      </c>
      <c r="G29" s="29">
        <v>255</v>
      </c>
      <c r="H29" s="25" t="s">
        <v>144</v>
      </c>
    </row>
    <row r="30" spans="2:8">
      <c r="B30" s="23">
        <f t="shared" si="1"/>
        <v>26</v>
      </c>
      <c r="C30" s="25" t="s">
        <v>145</v>
      </c>
      <c r="D30" s="29" t="s">
        <v>14</v>
      </c>
      <c r="E30" s="29" t="s">
        <v>14</v>
      </c>
      <c r="F30" s="29" t="s">
        <v>16</v>
      </c>
      <c r="G30" s="29">
        <v>64</v>
      </c>
      <c r="H30" s="67" t="s">
        <v>671</v>
      </c>
    </row>
    <row r="31" spans="2:8" hidden="1">
      <c r="B31" s="23">
        <f t="shared" si="0"/>
        <v>28</v>
      </c>
      <c r="C31" s="25" t="s">
        <v>146</v>
      </c>
      <c r="D31" s="29" t="s">
        <v>11</v>
      </c>
      <c r="E31" s="29" t="s">
        <v>14</v>
      </c>
      <c r="F31" s="29" t="s">
        <v>12</v>
      </c>
      <c r="G31" s="29">
        <v>1</v>
      </c>
      <c r="H31" s="25" t="s">
        <v>147</v>
      </c>
    </row>
    <row r="32" spans="2:8" hidden="1">
      <c r="B32" s="23">
        <f t="shared" si="0"/>
        <v>29</v>
      </c>
      <c r="C32" s="25" t="s">
        <v>155</v>
      </c>
      <c r="D32" s="29" t="s">
        <v>11</v>
      </c>
      <c r="E32" s="29" t="s">
        <v>14</v>
      </c>
      <c r="F32" s="29" t="s">
        <v>12</v>
      </c>
      <c r="G32" s="29">
        <v>1</v>
      </c>
      <c r="H32" s="25" t="s">
        <v>302</v>
      </c>
    </row>
    <row r="33" spans="1:8" ht="33">
      <c r="B33" s="23">
        <f>ROW()-6</f>
        <v>27</v>
      </c>
      <c r="C33" s="25" t="s">
        <v>150</v>
      </c>
      <c r="D33" s="29" t="s">
        <v>14</v>
      </c>
      <c r="E33" s="29" t="s">
        <v>14</v>
      </c>
      <c r="F33" s="41" t="s">
        <v>262</v>
      </c>
      <c r="G33" s="29" t="s">
        <v>156</v>
      </c>
      <c r="H33" s="25" t="s">
        <v>180</v>
      </c>
    </row>
    <row r="34" spans="1:8" ht="33">
      <c r="B34" s="23">
        <f t="shared" ref="B34:B37" si="2">ROW()-6</f>
        <v>28</v>
      </c>
      <c r="C34" s="25" t="s">
        <v>151</v>
      </c>
      <c r="D34" s="29" t="s">
        <v>14</v>
      </c>
      <c r="E34" s="29" t="s">
        <v>14</v>
      </c>
      <c r="F34" s="41" t="s">
        <v>262</v>
      </c>
      <c r="G34" s="29" t="s">
        <v>156</v>
      </c>
      <c r="H34" s="25" t="s">
        <v>180</v>
      </c>
    </row>
    <row r="35" spans="1:8" ht="33">
      <c r="B35" s="23">
        <f t="shared" si="2"/>
        <v>29</v>
      </c>
      <c r="C35" s="25" t="s">
        <v>152</v>
      </c>
      <c r="D35" s="29" t="s">
        <v>14</v>
      </c>
      <c r="E35" s="29" t="s">
        <v>14</v>
      </c>
      <c r="F35" s="41" t="s">
        <v>262</v>
      </c>
      <c r="G35" s="29" t="s">
        <v>156</v>
      </c>
      <c r="H35" s="25" t="s">
        <v>180</v>
      </c>
    </row>
    <row r="36" spans="1:8">
      <c r="A36" s="46"/>
      <c r="B36" s="23">
        <f t="shared" si="2"/>
        <v>30</v>
      </c>
      <c r="C36" s="25" t="s">
        <v>153</v>
      </c>
      <c r="D36" s="66" t="s">
        <v>149</v>
      </c>
      <c r="E36" s="29" t="s">
        <v>14</v>
      </c>
      <c r="F36" s="29" t="s">
        <v>16</v>
      </c>
      <c r="G36" s="29">
        <v>255</v>
      </c>
      <c r="H36" s="25" t="s">
        <v>157</v>
      </c>
    </row>
    <row r="37" spans="1:8">
      <c r="A37" s="46"/>
      <c r="B37" s="23">
        <f t="shared" si="2"/>
        <v>31</v>
      </c>
      <c r="C37" s="25" t="s">
        <v>154</v>
      </c>
      <c r="D37" s="66" t="s">
        <v>149</v>
      </c>
      <c r="E37" s="29" t="s">
        <v>14</v>
      </c>
      <c r="F37" s="29" t="s">
        <v>16</v>
      </c>
      <c r="G37" s="29">
        <v>255</v>
      </c>
      <c r="H37" s="25" t="s">
        <v>158</v>
      </c>
    </row>
    <row r="38" spans="1:8">
      <c r="D38" s="27" t="s">
        <v>263</v>
      </c>
    </row>
  </sheetData>
  <phoneticPr fontId="5"/>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D32DD-8F09-4233-90B9-A5CE481B1AD7}">
  <sheetPr>
    <tabColor theme="8" tint="0.79998168889431442"/>
  </sheetPr>
  <dimension ref="B2:I25"/>
  <sheetViews>
    <sheetView zoomScale="90" zoomScaleNormal="90" workbookViewId="0">
      <selection activeCell="I15" sqref="I15"/>
    </sheetView>
  </sheetViews>
  <sheetFormatPr defaultRowHeight="16.5"/>
  <cols>
    <col min="1" max="2" width="4" style="18" customWidth="1"/>
    <col min="3" max="3" width="25.44140625" style="18" customWidth="1"/>
    <col min="4" max="4" width="6.21875" style="18" customWidth="1"/>
    <col min="5" max="5" width="6.21875" style="18" hidden="1" customWidth="1"/>
    <col min="6" max="6" width="5.5546875" style="18" hidden="1" customWidth="1"/>
    <col min="7" max="7" width="12.109375" style="19" bestFit="1" customWidth="1"/>
    <col min="8" max="8" width="11.77734375" style="18" customWidth="1"/>
    <col min="9" max="9" width="78.33203125" style="18" customWidth="1"/>
    <col min="10" max="16384" width="8.88671875" style="18"/>
  </cols>
  <sheetData>
    <row r="2" spans="2:9">
      <c r="B2" s="27" t="s">
        <v>105</v>
      </c>
      <c r="D2" s="27"/>
    </row>
    <row r="3" spans="2:9">
      <c r="B3" s="20" t="s">
        <v>148</v>
      </c>
      <c r="C3" s="21" t="s">
        <v>104</v>
      </c>
      <c r="D3" s="22" t="s">
        <v>103</v>
      </c>
      <c r="E3" s="22" t="s">
        <v>177</v>
      </c>
      <c r="F3" s="22" t="s">
        <v>178</v>
      </c>
      <c r="G3" s="22" t="s">
        <v>102</v>
      </c>
      <c r="H3" s="21" t="s">
        <v>101</v>
      </c>
      <c r="I3" s="21" t="s">
        <v>100</v>
      </c>
    </row>
    <row r="4" spans="2:9">
      <c r="B4" s="23">
        <f t="shared" ref="B4:B6" si="0">ROW()-3</f>
        <v>1</v>
      </c>
      <c r="C4" s="24" t="s">
        <v>181</v>
      </c>
      <c r="D4" s="23" t="s">
        <v>10</v>
      </c>
      <c r="E4" s="23" t="s">
        <v>10</v>
      </c>
      <c r="F4" s="23" t="s">
        <v>10</v>
      </c>
      <c r="G4" s="29" t="s">
        <v>12</v>
      </c>
      <c r="H4" s="23">
        <v>1</v>
      </c>
      <c r="I4" s="13" t="s">
        <v>673</v>
      </c>
    </row>
    <row r="5" spans="2:9">
      <c r="B5" s="23">
        <f t="shared" si="0"/>
        <v>2</v>
      </c>
      <c r="C5" s="24" t="s">
        <v>161</v>
      </c>
      <c r="D5" s="23" t="s">
        <v>149</v>
      </c>
      <c r="E5" s="23" t="s">
        <v>11</v>
      </c>
      <c r="F5" s="23" t="s">
        <v>11</v>
      </c>
      <c r="G5" s="29" t="s">
        <v>45</v>
      </c>
      <c r="H5" s="23">
        <v>255</v>
      </c>
      <c r="I5" s="24" t="s">
        <v>179</v>
      </c>
    </row>
    <row r="6" spans="2:9" hidden="1">
      <c r="B6" s="23">
        <f t="shared" si="0"/>
        <v>3</v>
      </c>
      <c r="C6" s="24" t="s">
        <v>169</v>
      </c>
      <c r="D6" s="23" t="s">
        <v>11</v>
      </c>
      <c r="E6" s="23" t="s">
        <v>10</v>
      </c>
      <c r="F6" s="23" t="s">
        <v>10</v>
      </c>
      <c r="G6" s="29" t="s">
        <v>45</v>
      </c>
      <c r="H6" s="23">
        <v>255</v>
      </c>
      <c r="I6" s="24" t="s">
        <v>170</v>
      </c>
    </row>
    <row r="7" spans="2:9">
      <c r="B7" s="23">
        <f>ROW()-4</f>
        <v>3</v>
      </c>
      <c r="C7" s="24" t="s">
        <v>162</v>
      </c>
      <c r="D7" s="106" t="s">
        <v>149</v>
      </c>
      <c r="E7" s="23" t="s">
        <v>14</v>
      </c>
      <c r="F7" s="23" t="s">
        <v>11</v>
      </c>
      <c r="G7" s="29" t="s">
        <v>20</v>
      </c>
      <c r="H7" s="23">
        <v>1</v>
      </c>
      <c r="I7" s="24" t="s">
        <v>676</v>
      </c>
    </row>
    <row r="8" spans="2:9">
      <c r="B8" s="23">
        <f t="shared" ref="B8:B24" si="1">ROW()-4</f>
        <v>4</v>
      </c>
      <c r="C8" s="24" t="s">
        <v>182</v>
      </c>
      <c r="D8" s="106" t="s">
        <v>149</v>
      </c>
      <c r="E8" s="23" t="s">
        <v>14</v>
      </c>
      <c r="F8" s="23" t="s">
        <v>11</v>
      </c>
      <c r="G8" s="29" t="s">
        <v>18</v>
      </c>
      <c r="H8" s="37">
        <v>255</v>
      </c>
      <c r="I8" s="107" t="s">
        <v>308</v>
      </c>
    </row>
    <row r="9" spans="2:9">
      <c r="B9" s="23">
        <f t="shared" si="1"/>
        <v>5</v>
      </c>
      <c r="C9" s="24" t="s">
        <v>195</v>
      </c>
      <c r="D9" s="106" t="s">
        <v>149</v>
      </c>
      <c r="E9" s="23" t="s">
        <v>14</v>
      </c>
      <c r="F9" s="23" t="s">
        <v>11</v>
      </c>
      <c r="G9" s="29" t="s">
        <v>18</v>
      </c>
      <c r="H9" s="38">
        <v>80</v>
      </c>
      <c r="I9" s="24" t="s">
        <v>200</v>
      </c>
    </row>
    <row r="10" spans="2:9">
      <c r="B10" s="23">
        <f t="shared" si="1"/>
        <v>6</v>
      </c>
      <c r="C10" s="24" t="s">
        <v>196</v>
      </c>
      <c r="D10" s="106" t="s">
        <v>149</v>
      </c>
      <c r="E10" s="23" t="s">
        <v>14</v>
      </c>
      <c r="F10" s="23" t="s">
        <v>11</v>
      </c>
      <c r="G10" s="29" t="s">
        <v>18</v>
      </c>
      <c r="H10" s="38">
        <v>80</v>
      </c>
      <c r="I10" s="24" t="s">
        <v>201</v>
      </c>
    </row>
    <row r="11" spans="2:9">
      <c r="B11" s="23">
        <f t="shared" si="1"/>
        <v>7</v>
      </c>
      <c r="C11" s="24" t="s">
        <v>197</v>
      </c>
      <c r="D11" s="106" t="s">
        <v>149</v>
      </c>
      <c r="E11" s="23" t="s">
        <v>14</v>
      </c>
      <c r="F11" s="23" t="s">
        <v>11</v>
      </c>
      <c r="G11" s="29" t="s">
        <v>18</v>
      </c>
      <c r="H11" s="38">
        <v>80</v>
      </c>
      <c r="I11" s="24" t="s">
        <v>202</v>
      </c>
    </row>
    <row r="12" spans="2:9">
      <c r="B12" s="23">
        <f t="shared" si="1"/>
        <v>8</v>
      </c>
      <c r="C12" s="24" t="s">
        <v>198</v>
      </c>
      <c r="D12" s="106" t="s">
        <v>149</v>
      </c>
      <c r="E12" s="23" t="s">
        <v>14</v>
      </c>
      <c r="F12" s="23" t="s">
        <v>11</v>
      </c>
      <c r="G12" s="29" t="s">
        <v>18</v>
      </c>
      <c r="H12" s="38">
        <v>80</v>
      </c>
      <c r="I12" s="24" t="s">
        <v>203</v>
      </c>
    </row>
    <row r="13" spans="2:9">
      <c r="B13" s="23">
        <f t="shared" si="1"/>
        <v>9</v>
      </c>
      <c r="C13" s="24" t="s">
        <v>113</v>
      </c>
      <c r="D13" s="106" t="s">
        <v>149</v>
      </c>
      <c r="E13" s="23" t="s">
        <v>14</v>
      </c>
      <c r="F13" s="23" t="s">
        <v>11</v>
      </c>
      <c r="G13" s="29" t="s">
        <v>20</v>
      </c>
      <c r="H13" s="39">
        <v>15</v>
      </c>
      <c r="I13" s="24" t="s">
        <v>199</v>
      </c>
    </row>
    <row r="14" spans="2:9">
      <c r="B14" s="23">
        <f t="shared" si="1"/>
        <v>10</v>
      </c>
      <c r="C14" s="24" t="s">
        <v>115</v>
      </c>
      <c r="D14" s="106" t="s">
        <v>14</v>
      </c>
      <c r="E14" s="23" t="s">
        <v>14</v>
      </c>
      <c r="F14" s="23" t="s">
        <v>11</v>
      </c>
      <c r="G14" s="29" t="s">
        <v>20</v>
      </c>
      <c r="H14" s="23">
        <v>15</v>
      </c>
      <c r="I14" s="24" t="s">
        <v>171</v>
      </c>
    </row>
    <row r="15" spans="2:9">
      <c r="B15" s="23">
        <f t="shared" si="1"/>
        <v>11</v>
      </c>
      <c r="C15" s="24" t="s">
        <v>117</v>
      </c>
      <c r="D15" s="106" t="s">
        <v>14</v>
      </c>
      <c r="E15" s="23" t="s">
        <v>14</v>
      </c>
      <c r="F15" s="23" t="s">
        <v>11</v>
      </c>
      <c r="G15" s="29" t="s">
        <v>20</v>
      </c>
      <c r="H15" s="23">
        <v>15</v>
      </c>
      <c r="I15" s="24" t="s">
        <v>172</v>
      </c>
    </row>
    <row r="16" spans="2:9">
      <c r="B16" s="23">
        <f t="shared" si="1"/>
        <v>12</v>
      </c>
      <c r="C16" s="24" t="s">
        <v>119</v>
      </c>
      <c r="D16" s="106" t="s">
        <v>149</v>
      </c>
      <c r="E16" s="23" t="s">
        <v>14</v>
      </c>
      <c r="F16" s="23" t="s">
        <v>11</v>
      </c>
      <c r="G16" s="29" t="s">
        <v>20</v>
      </c>
      <c r="H16" s="23">
        <v>15</v>
      </c>
      <c r="I16" s="24" t="s">
        <v>163</v>
      </c>
    </row>
    <row r="17" spans="2:9">
      <c r="B17" s="23">
        <f t="shared" si="1"/>
        <v>13</v>
      </c>
      <c r="C17" s="24" t="s">
        <v>121</v>
      </c>
      <c r="D17" s="106" t="s">
        <v>149</v>
      </c>
      <c r="E17" s="23" t="s">
        <v>14</v>
      </c>
      <c r="F17" s="23" t="s">
        <v>11</v>
      </c>
      <c r="G17" s="29" t="s">
        <v>18</v>
      </c>
      <c r="H17" s="23">
        <v>255</v>
      </c>
      <c r="I17" s="24" t="s">
        <v>164</v>
      </c>
    </row>
    <row r="18" spans="2:9">
      <c r="B18" s="23">
        <f t="shared" si="1"/>
        <v>14</v>
      </c>
      <c r="C18" s="24" t="s">
        <v>124</v>
      </c>
      <c r="D18" s="106" t="s">
        <v>149</v>
      </c>
      <c r="E18" s="23" t="s">
        <v>14</v>
      </c>
      <c r="F18" s="23" t="s">
        <v>11</v>
      </c>
      <c r="G18" s="29" t="s">
        <v>18</v>
      </c>
      <c r="H18" s="23">
        <v>255</v>
      </c>
      <c r="I18" s="24" t="s">
        <v>165</v>
      </c>
    </row>
    <row r="19" spans="2:9">
      <c r="B19" s="23">
        <f t="shared" si="1"/>
        <v>15</v>
      </c>
      <c r="C19" s="24" t="s">
        <v>126</v>
      </c>
      <c r="D19" s="106" t="s">
        <v>149</v>
      </c>
      <c r="E19" s="23" t="s">
        <v>14</v>
      </c>
      <c r="F19" s="23" t="s">
        <v>11</v>
      </c>
      <c r="G19" s="29" t="s">
        <v>18</v>
      </c>
      <c r="H19" s="23">
        <v>255</v>
      </c>
      <c r="I19" s="24" t="s">
        <v>166</v>
      </c>
    </row>
    <row r="20" spans="2:9">
      <c r="B20" s="23">
        <f t="shared" si="1"/>
        <v>16</v>
      </c>
      <c r="C20" s="24" t="s">
        <v>128</v>
      </c>
      <c r="D20" s="23" t="s">
        <v>14</v>
      </c>
      <c r="E20" s="23" t="s">
        <v>14</v>
      </c>
      <c r="F20" s="23" t="s">
        <v>11</v>
      </c>
      <c r="G20" s="29" t="s">
        <v>18</v>
      </c>
      <c r="H20" s="23">
        <v>255</v>
      </c>
      <c r="I20" s="24" t="s">
        <v>167</v>
      </c>
    </row>
    <row r="21" spans="2:9">
      <c r="B21" s="23">
        <f t="shared" si="1"/>
        <v>17</v>
      </c>
      <c r="C21" s="24" t="s">
        <v>130</v>
      </c>
      <c r="D21" s="23" t="s">
        <v>14</v>
      </c>
      <c r="E21" s="23" t="s">
        <v>14</v>
      </c>
      <c r="F21" s="23" t="s">
        <v>11</v>
      </c>
      <c r="G21" s="29" t="s">
        <v>18</v>
      </c>
      <c r="H21" s="23">
        <v>255</v>
      </c>
      <c r="I21" s="24" t="s">
        <v>173</v>
      </c>
    </row>
    <row r="22" spans="2:9">
      <c r="B22" s="23">
        <f t="shared" si="1"/>
        <v>18</v>
      </c>
      <c r="C22" s="24" t="s">
        <v>132</v>
      </c>
      <c r="D22" s="23" t="s">
        <v>14</v>
      </c>
      <c r="E22" s="23" t="s">
        <v>14</v>
      </c>
      <c r="F22" s="23" t="s">
        <v>11</v>
      </c>
      <c r="G22" s="29" t="s">
        <v>18</v>
      </c>
      <c r="H22" s="23">
        <v>255</v>
      </c>
      <c r="I22" s="24" t="s">
        <v>174</v>
      </c>
    </row>
    <row r="23" spans="2:9">
      <c r="B23" s="23">
        <f t="shared" si="1"/>
        <v>19</v>
      </c>
      <c r="C23" s="24" t="s">
        <v>134</v>
      </c>
      <c r="D23" s="23" t="s">
        <v>14</v>
      </c>
      <c r="E23" s="23" t="s">
        <v>14</v>
      </c>
      <c r="F23" s="23" t="s">
        <v>11</v>
      </c>
      <c r="G23" s="29" t="s">
        <v>18</v>
      </c>
      <c r="H23" s="23">
        <v>255</v>
      </c>
      <c r="I23" s="24" t="s">
        <v>175</v>
      </c>
    </row>
    <row r="24" spans="2:9">
      <c r="B24" s="23">
        <f t="shared" si="1"/>
        <v>20</v>
      </c>
      <c r="C24" s="24" t="s">
        <v>136</v>
      </c>
      <c r="D24" s="23" t="s">
        <v>14</v>
      </c>
      <c r="E24" s="23" t="s">
        <v>14</v>
      </c>
      <c r="F24" s="23" t="s">
        <v>11</v>
      </c>
      <c r="G24" s="29" t="s">
        <v>18</v>
      </c>
      <c r="H24" s="23">
        <v>255</v>
      </c>
      <c r="I24" s="24" t="s">
        <v>176</v>
      </c>
    </row>
    <row r="25" spans="2:9">
      <c r="D25" s="27" t="s">
        <v>263</v>
      </c>
    </row>
  </sheetData>
  <phoneticPr fontId="5"/>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20F93-5874-4048-87A6-099FCAFE5BC1}">
  <sheetPr>
    <tabColor theme="8" tint="0.79998168889431442"/>
  </sheetPr>
  <dimension ref="B2:G12"/>
  <sheetViews>
    <sheetView zoomScale="90" zoomScaleNormal="90" workbookViewId="0">
      <selection activeCell="G6" sqref="G6"/>
    </sheetView>
  </sheetViews>
  <sheetFormatPr defaultRowHeight="16.5"/>
  <cols>
    <col min="1" max="2" width="4" style="18" customWidth="1"/>
    <col min="3" max="3" width="25.44140625" style="18" customWidth="1"/>
    <col min="4" max="4" width="7.44140625" style="18" customWidth="1"/>
    <col min="5" max="5" width="26.6640625" style="18" bestFit="1" customWidth="1"/>
    <col min="6" max="6" width="11.88671875" style="18" customWidth="1"/>
    <col min="7" max="7" width="69.5546875" style="19" customWidth="1"/>
    <col min="8" max="16384" width="8.88671875" style="18"/>
  </cols>
  <sheetData>
    <row r="2" spans="2:7">
      <c r="B2" s="18" t="s">
        <v>105</v>
      </c>
    </row>
    <row r="3" spans="2:7">
      <c r="B3" s="20" t="s">
        <v>148</v>
      </c>
      <c r="C3" s="21" t="s">
        <v>104</v>
      </c>
      <c r="D3" s="22" t="s">
        <v>103</v>
      </c>
      <c r="E3" s="22" t="s">
        <v>102</v>
      </c>
      <c r="F3" s="21" t="s">
        <v>101</v>
      </c>
      <c r="G3" s="21" t="s">
        <v>100</v>
      </c>
    </row>
    <row r="4" spans="2:7">
      <c r="B4" s="23">
        <f>ROW()-3</f>
        <v>1</v>
      </c>
      <c r="C4" s="24" t="s">
        <v>242</v>
      </c>
      <c r="D4" s="23" t="s">
        <v>10</v>
      </c>
      <c r="E4" s="23" t="s">
        <v>12</v>
      </c>
      <c r="F4" s="23" t="s">
        <v>99</v>
      </c>
      <c r="G4" s="25" t="s">
        <v>168</v>
      </c>
    </row>
    <row r="5" spans="2:7" ht="33">
      <c r="B5" s="23">
        <f t="shared" ref="B5:B11" si="0">ROW()-3</f>
        <v>2</v>
      </c>
      <c r="C5" s="24" t="s">
        <v>98</v>
      </c>
      <c r="D5" s="23" t="s">
        <v>10</v>
      </c>
      <c r="E5" s="23" t="s">
        <v>20</v>
      </c>
      <c r="F5" s="23" t="s">
        <v>94</v>
      </c>
      <c r="G5" s="67" t="s">
        <v>682</v>
      </c>
    </row>
    <row r="6" spans="2:7">
      <c r="B6" s="23">
        <f t="shared" si="0"/>
        <v>3</v>
      </c>
      <c r="C6" s="24" t="s">
        <v>97</v>
      </c>
      <c r="D6" s="23" t="s">
        <v>149</v>
      </c>
      <c r="E6" s="23" t="s">
        <v>95</v>
      </c>
      <c r="F6" s="23" t="s">
        <v>94</v>
      </c>
      <c r="G6" s="69" t="s">
        <v>672</v>
      </c>
    </row>
    <row r="7" spans="2:7">
      <c r="B7" s="23">
        <f t="shared" si="0"/>
        <v>4</v>
      </c>
      <c r="C7" s="24" t="s">
        <v>96</v>
      </c>
      <c r="D7" s="23" t="s">
        <v>149</v>
      </c>
      <c r="E7" s="23" t="s">
        <v>95</v>
      </c>
      <c r="F7" s="23" t="s">
        <v>94</v>
      </c>
      <c r="G7" s="25" t="s">
        <v>160</v>
      </c>
    </row>
    <row r="8" spans="2:7" ht="33">
      <c r="B8" s="23">
        <f t="shared" si="0"/>
        <v>5</v>
      </c>
      <c r="C8" s="26" t="s">
        <v>191</v>
      </c>
      <c r="D8" s="26" t="s">
        <v>93</v>
      </c>
      <c r="E8" s="40" t="s">
        <v>20</v>
      </c>
      <c r="F8" s="40" t="s">
        <v>92</v>
      </c>
      <c r="G8" s="26" t="s">
        <v>192</v>
      </c>
    </row>
    <row r="9" spans="2:7" ht="33">
      <c r="B9" s="23">
        <f t="shared" si="0"/>
        <v>6</v>
      </c>
      <c r="C9" s="26" t="s">
        <v>193</v>
      </c>
      <c r="D9" s="26" t="s">
        <v>93</v>
      </c>
      <c r="E9" s="40" t="s">
        <v>20</v>
      </c>
      <c r="F9" s="40" t="s">
        <v>92</v>
      </c>
      <c r="G9" s="26" t="s">
        <v>241</v>
      </c>
    </row>
    <row r="10" spans="2:7">
      <c r="B10" s="23">
        <f t="shared" si="0"/>
        <v>7</v>
      </c>
      <c r="C10" s="26" t="s">
        <v>194</v>
      </c>
      <c r="D10" s="23" t="s">
        <v>14</v>
      </c>
      <c r="E10" s="40" t="s">
        <v>18</v>
      </c>
      <c r="F10" s="40" t="s">
        <v>91</v>
      </c>
      <c r="G10" s="25" t="s">
        <v>65</v>
      </c>
    </row>
    <row r="11" spans="2:7" hidden="1">
      <c r="B11" s="23">
        <f t="shared" si="0"/>
        <v>8</v>
      </c>
      <c r="C11" s="24" t="s">
        <v>25</v>
      </c>
      <c r="D11" s="23" t="s">
        <v>14</v>
      </c>
      <c r="E11" s="23" t="s">
        <v>18</v>
      </c>
      <c r="F11" s="23" t="s">
        <v>90</v>
      </c>
      <c r="G11" s="25" t="s">
        <v>65</v>
      </c>
    </row>
    <row r="12" spans="2:7">
      <c r="D12" s="27" t="s">
        <v>263</v>
      </c>
    </row>
  </sheetData>
  <phoneticPr fontId="5"/>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2FA8D-4734-451E-BDF9-69AD65B122DB}">
  <sheetPr>
    <tabColor theme="7" tint="0.59999389629810485"/>
  </sheetPr>
  <dimension ref="B2:N58"/>
  <sheetViews>
    <sheetView topLeftCell="A18" zoomScale="90" zoomScaleNormal="90" workbookViewId="0">
      <selection activeCell="C4" sqref="C4:C42"/>
    </sheetView>
  </sheetViews>
  <sheetFormatPr defaultRowHeight="16.5"/>
  <cols>
    <col min="1" max="2" width="4" style="18" customWidth="1"/>
    <col min="3" max="3" width="25.44140625" style="18" customWidth="1"/>
    <col min="4" max="4" width="35.21875" style="18" hidden="1" customWidth="1"/>
    <col min="5" max="5" width="7.44140625" style="18" customWidth="1"/>
    <col min="6" max="6" width="14.77734375" style="18" customWidth="1"/>
    <col min="7" max="7" width="11.88671875" style="18" customWidth="1"/>
    <col min="8" max="8" width="69.5546875" style="19" customWidth="1"/>
    <col min="9" max="9" width="14.88671875" style="18" bestFit="1" customWidth="1"/>
    <col min="10" max="10" width="14.5546875" style="18" customWidth="1"/>
    <col min="11" max="11" width="9.5546875" style="18" hidden="1" customWidth="1"/>
    <col min="12" max="12" width="11" style="18" bestFit="1" customWidth="1"/>
    <col min="13" max="13" width="18" style="18" customWidth="1"/>
    <col min="14" max="14" width="12.109375" style="18" hidden="1" customWidth="1"/>
    <col min="15" max="16384" width="8.88671875" style="18"/>
  </cols>
  <sheetData>
    <row r="2" spans="2:14">
      <c r="B2" s="18" t="s">
        <v>311</v>
      </c>
      <c r="I2" s="113" t="s">
        <v>560</v>
      </c>
      <c r="J2" s="114"/>
      <c r="K2" s="102"/>
      <c r="L2" s="115" t="s">
        <v>592</v>
      </c>
      <c r="M2" s="116"/>
      <c r="N2" s="103"/>
    </row>
    <row r="3" spans="2:14">
      <c r="B3" s="20" t="s">
        <v>148</v>
      </c>
      <c r="C3" s="22" t="s">
        <v>104</v>
      </c>
      <c r="D3" s="22" t="s">
        <v>375</v>
      </c>
      <c r="E3" s="22" t="s">
        <v>103</v>
      </c>
      <c r="F3" s="22" t="s">
        <v>102</v>
      </c>
      <c r="G3" s="21" t="s">
        <v>101</v>
      </c>
      <c r="H3" s="98" t="s">
        <v>100</v>
      </c>
      <c r="I3" s="99" t="s">
        <v>561</v>
      </c>
      <c r="J3" s="99" t="s">
        <v>562</v>
      </c>
      <c r="K3" s="99" t="s">
        <v>589</v>
      </c>
      <c r="L3" s="100" t="s">
        <v>561</v>
      </c>
      <c r="M3" s="100" t="s">
        <v>562</v>
      </c>
      <c r="N3" s="100" t="s">
        <v>589</v>
      </c>
    </row>
    <row r="4" spans="2:14">
      <c r="B4" s="23">
        <f>ROW()-3</f>
        <v>1</v>
      </c>
      <c r="C4" s="24" t="s">
        <v>377</v>
      </c>
      <c r="D4" s="24" t="s">
        <v>266</v>
      </c>
      <c r="E4" s="68" t="s">
        <v>10</v>
      </c>
      <c r="F4" s="23" t="s">
        <v>379</v>
      </c>
      <c r="G4" s="10">
        <v>64</v>
      </c>
      <c r="H4" s="25" t="s">
        <v>383</v>
      </c>
      <c r="I4" s="24" t="s">
        <v>565</v>
      </c>
      <c r="J4" s="24" t="s">
        <v>637</v>
      </c>
      <c r="K4" s="24"/>
      <c r="L4" s="24" t="s">
        <v>617</v>
      </c>
      <c r="M4" s="24" t="s">
        <v>641</v>
      </c>
      <c r="N4" s="24"/>
    </row>
    <row r="5" spans="2:14">
      <c r="B5" s="23">
        <f>ROW()-3</f>
        <v>2</v>
      </c>
      <c r="C5" s="24" t="s">
        <v>96</v>
      </c>
      <c r="D5" s="24" t="s">
        <v>312</v>
      </c>
      <c r="E5" s="68" t="s">
        <v>10</v>
      </c>
      <c r="F5" s="23" t="s">
        <v>12</v>
      </c>
      <c r="G5" s="10">
        <v>64</v>
      </c>
      <c r="H5" s="13" t="s">
        <v>380</v>
      </c>
      <c r="I5" s="23" t="s">
        <v>266</v>
      </c>
      <c r="J5" s="23" t="s">
        <v>266</v>
      </c>
      <c r="K5" s="24" t="s">
        <v>156</v>
      </c>
      <c r="L5" s="23" t="s">
        <v>266</v>
      </c>
      <c r="M5" s="23" t="s">
        <v>266</v>
      </c>
      <c r="N5" s="24"/>
    </row>
    <row r="6" spans="2:14">
      <c r="B6" s="23">
        <f t="shared" ref="B6:B55" si="0">ROW()-3</f>
        <v>3</v>
      </c>
      <c r="C6" s="24" t="s">
        <v>381</v>
      </c>
      <c r="D6" s="24" t="s">
        <v>313</v>
      </c>
      <c r="E6" s="68" t="s">
        <v>10</v>
      </c>
      <c r="F6" s="23" t="s">
        <v>379</v>
      </c>
      <c r="G6" s="36">
        <v>255</v>
      </c>
      <c r="H6" s="69" t="s">
        <v>382</v>
      </c>
      <c r="I6" s="24" t="s">
        <v>564</v>
      </c>
      <c r="J6" s="24" t="s">
        <v>563</v>
      </c>
      <c r="K6" s="24"/>
      <c r="L6" s="24" t="s">
        <v>619</v>
      </c>
      <c r="M6" s="24" t="s">
        <v>621</v>
      </c>
      <c r="N6" s="24" t="s">
        <v>620</v>
      </c>
    </row>
    <row r="7" spans="2:14">
      <c r="B7" s="23">
        <f t="shared" si="0"/>
        <v>4</v>
      </c>
      <c r="C7" s="24" t="s">
        <v>633</v>
      </c>
      <c r="D7" s="24" t="s">
        <v>314</v>
      </c>
      <c r="E7" s="68" t="s">
        <v>149</v>
      </c>
      <c r="F7" s="23" t="s">
        <v>634</v>
      </c>
      <c r="G7" s="40">
        <v>20</v>
      </c>
      <c r="H7" s="69" t="s">
        <v>684</v>
      </c>
      <c r="I7" s="24" t="s">
        <v>565</v>
      </c>
      <c r="J7" s="24" t="s">
        <v>635</v>
      </c>
      <c r="K7" s="24"/>
      <c r="L7" s="24" t="s">
        <v>617</v>
      </c>
      <c r="M7" s="24" t="s">
        <v>636</v>
      </c>
      <c r="N7" s="24"/>
    </row>
    <row r="8" spans="2:14">
      <c r="B8" s="23">
        <f t="shared" si="0"/>
        <v>5</v>
      </c>
      <c r="C8" s="24" t="s">
        <v>701</v>
      </c>
      <c r="D8" s="24" t="s">
        <v>314</v>
      </c>
      <c r="E8" s="68" t="s">
        <v>149</v>
      </c>
      <c r="F8" s="23" t="s">
        <v>450</v>
      </c>
      <c r="G8" s="40">
        <v>10</v>
      </c>
      <c r="H8" s="69" t="s">
        <v>702</v>
      </c>
      <c r="I8" s="24" t="s">
        <v>565</v>
      </c>
      <c r="J8" s="24" t="s">
        <v>566</v>
      </c>
      <c r="K8" s="24"/>
      <c r="L8" s="24" t="s">
        <v>617</v>
      </c>
      <c r="M8" s="24" t="s">
        <v>594</v>
      </c>
      <c r="N8" s="24"/>
    </row>
    <row r="9" spans="2:14">
      <c r="B9" s="23">
        <f t="shared" si="0"/>
        <v>6</v>
      </c>
      <c r="C9" s="24" t="s">
        <v>316</v>
      </c>
      <c r="D9" s="24" t="s">
        <v>315</v>
      </c>
      <c r="E9" s="68" t="s">
        <v>149</v>
      </c>
      <c r="F9" s="23" t="s">
        <v>450</v>
      </c>
      <c r="G9" s="40">
        <v>10</v>
      </c>
      <c r="H9" s="25" t="s">
        <v>451</v>
      </c>
      <c r="I9" s="24" t="s">
        <v>567</v>
      </c>
      <c r="J9" s="24" t="s">
        <v>571</v>
      </c>
      <c r="K9" s="24"/>
      <c r="L9" s="24" t="s">
        <v>617</v>
      </c>
      <c r="M9" s="24" t="s">
        <v>618</v>
      </c>
      <c r="N9" s="24"/>
    </row>
    <row r="10" spans="2:14">
      <c r="B10" s="23">
        <f t="shared" si="0"/>
        <v>7</v>
      </c>
      <c r="C10" s="24" t="s">
        <v>704</v>
      </c>
      <c r="D10" s="24" t="s">
        <v>317</v>
      </c>
      <c r="E10" s="68" t="s">
        <v>10</v>
      </c>
      <c r="F10" s="23" t="s">
        <v>450</v>
      </c>
      <c r="G10" s="40">
        <v>10</v>
      </c>
      <c r="H10" s="26" t="s">
        <v>703</v>
      </c>
      <c r="I10" s="24" t="s">
        <v>567</v>
      </c>
      <c r="J10" s="24" t="s">
        <v>572</v>
      </c>
      <c r="K10" s="24"/>
      <c r="L10" s="24" t="s">
        <v>617</v>
      </c>
      <c r="M10" s="24" t="s">
        <v>593</v>
      </c>
      <c r="N10" s="24"/>
    </row>
    <row r="11" spans="2:14">
      <c r="B11" s="23">
        <f t="shared" si="0"/>
        <v>8</v>
      </c>
      <c r="C11" s="24" t="s">
        <v>414</v>
      </c>
      <c r="D11" s="24" t="s">
        <v>345</v>
      </c>
      <c r="E11" s="68" t="s">
        <v>10</v>
      </c>
      <c r="F11" s="23" t="s">
        <v>450</v>
      </c>
      <c r="G11" s="40">
        <v>10</v>
      </c>
      <c r="H11" s="25" t="s">
        <v>452</v>
      </c>
      <c r="I11" s="24" t="s">
        <v>565</v>
      </c>
      <c r="J11" s="24" t="s">
        <v>568</v>
      </c>
      <c r="K11" s="24"/>
      <c r="L11" s="24" t="s">
        <v>617</v>
      </c>
      <c r="M11" s="24" t="s">
        <v>606</v>
      </c>
      <c r="N11" s="24"/>
    </row>
    <row r="12" spans="2:14">
      <c r="B12" s="23">
        <f t="shared" si="0"/>
        <v>9</v>
      </c>
      <c r="C12" s="24" t="s">
        <v>569</v>
      </c>
      <c r="D12" s="24" t="s">
        <v>318</v>
      </c>
      <c r="E12" s="68" t="s">
        <v>10</v>
      </c>
      <c r="F12" s="23" t="s">
        <v>487</v>
      </c>
      <c r="G12" s="40">
        <v>10</v>
      </c>
      <c r="H12" s="26" t="s">
        <v>683</v>
      </c>
      <c r="I12" s="24" t="s">
        <v>565</v>
      </c>
      <c r="J12" s="24" t="s">
        <v>570</v>
      </c>
      <c r="K12" s="24"/>
      <c r="L12" s="24" t="s">
        <v>617</v>
      </c>
      <c r="M12" s="24" t="s">
        <v>595</v>
      </c>
      <c r="N12" s="24"/>
    </row>
    <row r="13" spans="2:14">
      <c r="B13" s="23">
        <f t="shared" si="0"/>
        <v>10</v>
      </c>
      <c r="C13" s="24" t="s">
        <v>24</v>
      </c>
      <c r="D13" s="24" t="s">
        <v>340</v>
      </c>
      <c r="E13" s="68" t="s">
        <v>10</v>
      </c>
      <c r="F13" s="10" t="s">
        <v>16</v>
      </c>
      <c r="G13" s="10">
        <v>64</v>
      </c>
      <c r="H13" s="13" t="s">
        <v>699</v>
      </c>
      <c r="I13" s="23" t="s">
        <v>266</v>
      </c>
      <c r="J13" s="23" t="s">
        <v>266</v>
      </c>
      <c r="K13" s="24" t="s">
        <v>156</v>
      </c>
      <c r="L13" s="23" t="s">
        <v>266</v>
      </c>
      <c r="M13" s="23" t="s">
        <v>266</v>
      </c>
      <c r="N13" s="24"/>
    </row>
    <row r="14" spans="2:14">
      <c r="B14" s="23">
        <f t="shared" si="0"/>
        <v>11</v>
      </c>
      <c r="C14" s="24" t="s">
        <v>407</v>
      </c>
      <c r="D14" s="24" t="s">
        <v>328</v>
      </c>
      <c r="E14" s="68" t="s">
        <v>10</v>
      </c>
      <c r="F14" s="29" t="s">
        <v>18</v>
      </c>
      <c r="G14" s="38">
        <v>80</v>
      </c>
      <c r="H14" s="25" t="s">
        <v>434</v>
      </c>
      <c r="I14" s="24" t="s">
        <v>564</v>
      </c>
      <c r="J14" s="24" t="s">
        <v>573</v>
      </c>
      <c r="K14" s="24" t="s">
        <v>590</v>
      </c>
      <c r="L14" s="24" t="s">
        <v>617</v>
      </c>
      <c r="M14" s="24" t="s">
        <v>596</v>
      </c>
      <c r="N14" s="24"/>
    </row>
    <row r="15" spans="2:14">
      <c r="B15" s="23">
        <f t="shared" si="0"/>
        <v>12</v>
      </c>
      <c r="C15" s="24" t="s">
        <v>408</v>
      </c>
      <c r="D15" s="24" t="s">
        <v>328</v>
      </c>
      <c r="E15" s="68" t="s">
        <v>10</v>
      </c>
      <c r="F15" s="29" t="s">
        <v>18</v>
      </c>
      <c r="G15" s="38">
        <v>80</v>
      </c>
      <c r="H15" s="25" t="s">
        <v>435</v>
      </c>
      <c r="I15" s="24" t="s">
        <v>564</v>
      </c>
      <c r="J15" s="24" t="s">
        <v>574</v>
      </c>
      <c r="K15" s="24" t="s">
        <v>590</v>
      </c>
      <c r="L15" s="24" t="s">
        <v>617</v>
      </c>
      <c r="M15" s="24" t="s">
        <v>598</v>
      </c>
      <c r="N15" s="24"/>
    </row>
    <row r="16" spans="2:14">
      <c r="B16" s="23">
        <f t="shared" si="0"/>
        <v>13</v>
      </c>
      <c r="C16" s="24" t="s">
        <v>705</v>
      </c>
      <c r="D16" s="24" t="s">
        <v>329</v>
      </c>
      <c r="E16" s="68" t="s">
        <v>10</v>
      </c>
      <c r="F16" s="29" t="s">
        <v>18</v>
      </c>
      <c r="G16" s="38">
        <v>80</v>
      </c>
      <c r="H16" s="25" t="s">
        <v>436</v>
      </c>
      <c r="I16" s="24" t="s">
        <v>564</v>
      </c>
      <c r="J16" s="24" t="s">
        <v>575</v>
      </c>
      <c r="K16" s="24" t="s">
        <v>590</v>
      </c>
      <c r="L16" s="24" t="s">
        <v>617</v>
      </c>
      <c r="M16" s="24" t="s">
        <v>599</v>
      </c>
      <c r="N16" s="24"/>
    </row>
    <row r="17" spans="2:14">
      <c r="B17" s="23">
        <f t="shared" si="0"/>
        <v>14</v>
      </c>
      <c r="C17" s="24" t="s">
        <v>706</v>
      </c>
      <c r="D17" s="24" t="s">
        <v>329</v>
      </c>
      <c r="E17" s="68" t="s">
        <v>10</v>
      </c>
      <c r="F17" s="29" t="s">
        <v>18</v>
      </c>
      <c r="G17" s="38">
        <v>80</v>
      </c>
      <c r="H17" s="25" t="s">
        <v>437</v>
      </c>
      <c r="I17" s="24" t="s">
        <v>564</v>
      </c>
      <c r="J17" s="24" t="s">
        <v>576</v>
      </c>
      <c r="K17" s="24" t="s">
        <v>590</v>
      </c>
      <c r="L17" s="24" t="s">
        <v>617</v>
      </c>
      <c r="M17" s="24" t="s">
        <v>600</v>
      </c>
      <c r="N17" s="24"/>
    </row>
    <row r="18" spans="2:14">
      <c r="B18" s="23">
        <f t="shared" si="0"/>
        <v>15</v>
      </c>
      <c r="C18" s="24" t="s">
        <v>417</v>
      </c>
      <c r="D18" s="24" t="s">
        <v>330</v>
      </c>
      <c r="E18" s="68" t="s">
        <v>10</v>
      </c>
      <c r="F18" s="23" t="s">
        <v>379</v>
      </c>
      <c r="G18" s="36">
        <v>255</v>
      </c>
      <c r="H18" s="25" t="s">
        <v>418</v>
      </c>
      <c r="I18" s="24" t="s">
        <v>564</v>
      </c>
      <c r="J18" s="24" t="s">
        <v>563</v>
      </c>
      <c r="K18" s="24" t="s">
        <v>590</v>
      </c>
      <c r="L18" s="24" t="s">
        <v>619</v>
      </c>
      <c r="M18" s="24" t="s">
        <v>621</v>
      </c>
      <c r="N18" s="24" t="s">
        <v>620</v>
      </c>
    </row>
    <row r="19" spans="2:14">
      <c r="B19" s="23">
        <f t="shared" si="0"/>
        <v>16</v>
      </c>
      <c r="C19" s="24" t="s">
        <v>332</v>
      </c>
      <c r="D19" s="24" t="s">
        <v>331</v>
      </c>
      <c r="E19" s="68" t="s">
        <v>10</v>
      </c>
      <c r="F19" s="23" t="s">
        <v>450</v>
      </c>
      <c r="G19" s="40">
        <v>10</v>
      </c>
      <c r="H19" s="25" t="s">
        <v>438</v>
      </c>
      <c r="I19" s="24" t="s">
        <v>577</v>
      </c>
      <c r="J19" s="24" t="s">
        <v>578</v>
      </c>
      <c r="K19" s="24" t="s">
        <v>590</v>
      </c>
      <c r="L19" s="24" t="s">
        <v>617</v>
      </c>
      <c r="M19" s="101" t="s">
        <v>601</v>
      </c>
      <c r="N19" s="24"/>
    </row>
    <row r="20" spans="2:14">
      <c r="B20" s="23">
        <f t="shared" si="0"/>
        <v>17</v>
      </c>
      <c r="C20" s="24" t="s">
        <v>334</v>
      </c>
      <c r="D20" s="24" t="s">
        <v>333</v>
      </c>
      <c r="E20" s="68" t="s">
        <v>10</v>
      </c>
      <c r="F20" s="29" t="s">
        <v>20</v>
      </c>
      <c r="G20" s="29">
        <v>9</v>
      </c>
      <c r="H20" s="25" t="s">
        <v>439</v>
      </c>
      <c r="I20" s="24" t="s">
        <v>577</v>
      </c>
      <c r="J20" s="24" t="s">
        <v>579</v>
      </c>
      <c r="K20" s="24" t="s">
        <v>590</v>
      </c>
      <c r="L20" s="24" t="s">
        <v>617</v>
      </c>
      <c r="M20" s="101" t="s">
        <v>602</v>
      </c>
      <c r="N20" s="24"/>
    </row>
    <row r="21" spans="2:14">
      <c r="B21" s="23">
        <f t="shared" si="0"/>
        <v>18</v>
      </c>
      <c r="C21" s="24" t="s">
        <v>416</v>
      </c>
      <c r="D21" s="24" t="s">
        <v>335</v>
      </c>
      <c r="E21" s="68" t="s">
        <v>10</v>
      </c>
      <c r="F21" s="29" t="s">
        <v>122</v>
      </c>
      <c r="G21" s="29">
        <v>4</v>
      </c>
      <c r="H21" s="25" t="s">
        <v>447</v>
      </c>
      <c r="I21" s="24" t="s">
        <v>577</v>
      </c>
      <c r="J21" s="24" t="s">
        <v>580</v>
      </c>
      <c r="K21" s="24" t="s">
        <v>590</v>
      </c>
      <c r="L21" s="24" t="s">
        <v>617</v>
      </c>
      <c r="M21" s="101" t="s">
        <v>603</v>
      </c>
      <c r="N21" s="24"/>
    </row>
    <row r="22" spans="2:14">
      <c r="B22" s="23">
        <f t="shared" si="0"/>
        <v>19</v>
      </c>
      <c r="C22" s="24" t="s">
        <v>337</v>
      </c>
      <c r="D22" s="24" t="s">
        <v>336</v>
      </c>
      <c r="E22" s="68" t="s">
        <v>10</v>
      </c>
      <c r="F22" s="29" t="s">
        <v>18</v>
      </c>
      <c r="G22" s="29">
        <v>255</v>
      </c>
      <c r="H22" s="25" t="s">
        <v>440</v>
      </c>
      <c r="I22" s="24" t="s">
        <v>577</v>
      </c>
      <c r="J22" s="24" t="s">
        <v>581</v>
      </c>
      <c r="K22" s="24" t="s">
        <v>590</v>
      </c>
      <c r="L22" s="24" t="s">
        <v>617</v>
      </c>
      <c r="M22" s="101" t="s">
        <v>604</v>
      </c>
      <c r="N22" s="24"/>
    </row>
    <row r="23" spans="2:14">
      <c r="B23" s="23">
        <f t="shared" si="0"/>
        <v>20</v>
      </c>
      <c r="C23" s="24" t="s">
        <v>339</v>
      </c>
      <c r="D23" s="24" t="s">
        <v>338</v>
      </c>
      <c r="E23" s="68" t="s">
        <v>10</v>
      </c>
      <c r="F23" s="29" t="s">
        <v>18</v>
      </c>
      <c r="G23" s="29">
        <v>255</v>
      </c>
      <c r="H23" s="25" t="s">
        <v>441</v>
      </c>
      <c r="I23" s="24" t="s">
        <v>577</v>
      </c>
      <c r="J23" s="24" t="s">
        <v>582</v>
      </c>
      <c r="K23" s="24" t="s">
        <v>590</v>
      </c>
      <c r="L23" s="24" t="s">
        <v>617</v>
      </c>
      <c r="M23" s="101" t="s">
        <v>605</v>
      </c>
      <c r="N23" s="24"/>
    </row>
    <row r="24" spans="2:14">
      <c r="B24" s="23">
        <f t="shared" si="0"/>
        <v>21</v>
      </c>
      <c r="C24" s="24" t="s">
        <v>388</v>
      </c>
      <c r="D24" s="24" t="s">
        <v>389</v>
      </c>
      <c r="E24" s="23" t="s">
        <v>397</v>
      </c>
      <c r="F24" s="29" t="s">
        <v>18</v>
      </c>
      <c r="G24" s="29">
        <v>255</v>
      </c>
      <c r="H24" s="25" t="s">
        <v>442</v>
      </c>
      <c r="I24" s="24" t="s">
        <v>577</v>
      </c>
      <c r="J24" s="24" t="s">
        <v>583</v>
      </c>
      <c r="K24" s="24" t="s">
        <v>590</v>
      </c>
      <c r="L24" s="24" t="s">
        <v>617</v>
      </c>
      <c r="M24" s="101" t="s">
        <v>597</v>
      </c>
      <c r="N24" s="24"/>
    </row>
    <row r="25" spans="2:14">
      <c r="B25" s="23">
        <f t="shared" si="0"/>
        <v>22</v>
      </c>
      <c r="C25" s="24" t="s">
        <v>390</v>
      </c>
      <c r="D25" s="24" t="s">
        <v>391</v>
      </c>
      <c r="E25" s="23" t="s">
        <v>397</v>
      </c>
      <c r="F25" s="29" t="s">
        <v>18</v>
      </c>
      <c r="G25" s="29">
        <v>255</v>
      </c>
      <c r="H25" s="25" t="s">
        <v>443</v>
      </c>
      <c r="I25" s="24"/>
      <c r="J25" s="24"/>
      <c r="K25" s="24"/>
      <c r="L25" s="24"/>
      <c r="M25" s="24"/>
      <c r="N25" s="24"/>
    </row>
    <row r="26" spans="2:14">
      <c r="B26" s="23">
        <f t="shared" si="0"/>
        <v>23</v>
      </c>
      <c r="C26" s="24" t="s">
        <v>707</v>
      </c>
      <c r="D26" s="24" t="s">
        <v>392</v>
      </c>
      <c r="E26" s="23" t="s">
        <v>397</v>
      </c>
      <c r="F26" s="29" t="s">
        <v>18</v>
      </c>
      <c r="G26" s="29">
        <v>255</v>
      </c>
      <c r="H26" s="25" t="s">
        <v>444</v>
      </c>
      <c r="I26" s="24"/>
      <c r="J26" s="24"/>
      <c r="K26" s="24"/>
      <c r="L26" s="24"/>
      <c r="M26" s="24"/>
      <c r="N26" s="24"/>
    </row>
    <row r="27" spans="2:14">
      <c r="B27" s="23">
        <f t="shared" si="0"/>
        <v>24</v>
      </c>
      <c r="C27" s="24" t="s">
        <v>393</v>
      </c>
      <c r="D27" s="24" t="s">
        <v>394</v>
      </c>
      <c r="E27" s="23" t="s">
        <v>397</v>
      </c>
      <c r="F27" s="29" t="s">
        <v>18</v>
      </c>
      <c r="G27" s="29">
        <v>255</v>
      </c>
      <c r="H27" s="25" t="s">
        <v>445</v>
      </c>
      <c r="I27" s="24"/>
      <c r="J27" s="24"/>
      <c r="K27" s="24"/>
      <c r="L27" s="24"/>
      <c r="M27" s="24"/>
      <c r="N27" s="24"/>
    </row>
    <row r="28" spans="2:14">
      <c r="B28" s="23">
        <f t="shared" si="0"/>
        <v>25</v>
      </c>
      <c r="C28" s="24" t="s">
        <v>395</v>
      </c>
      <c r="D28" s="24" t="s">
        <v>396</v>
      </c>
      <c r="E28" s="23" t="s">
        <v>397</v>
      </c>
      <c r="F28" s="29" t="s">
        <v>18</v>
      </c>
      <c r="G28" s="29">
        <v>255</v>
      </c>
      <c r="H28" s="25" t="s">
        <v>446</v>
      </c>
      <c r="I28" s="24"/>
      <c r="J28" s="24"/>
      <c r="K28" s="24"/>
      <c r="L28" s="24"/>
      <c r="M28" s="24"/>
      <c r="N28" s="24"/>
    </row>
    <row r="29" spans="2:14">
      <c r="B29" s="23">
        <f t="shared" si="0"/>
        <v>26</v>
      </c>
      <c r="C29" s="24" t="s">
        <v>410</v>
      </c>
      <c r="D29" s="24" t="s">
        <v>352</v>
      </c>
      <c r="E29" s="68" t="s">
        <v>10</v>
      </c>
      <c r="F29" s="29" t="s">
        <v>18</v>
      </c>
      <c r="G29" s="38">
        <v>80</v>
      </c>
      <c r="H29" s="25" t="s">
        <v>419</v>
      </c>
      <c r="I29" s="24" t="s">
        <v>577</v>
      </c>
      <c r="J29" s="24" t="s">
        <v>584</v>
      </c>
      <c r="K29" s="24" t="s">
        <v>591</v>
      </c>
      <c r="L29" s="24" t="s">
        <v>617</v>
      </c>
      <c r="M29" s="101" t="s">
        <v>613</v>
      </c>
      <c r="N29" s="24"/>
    </row>
    <row r="30" spans="2:14">
      <c r="B30" s="23">
        <f t="shared" si="0"/>
        <v>27</v>
      </c>
      <c r="C30" s="24" t="s">
        <v>409</v>
      </c>
      <c r="D30" s="24" t="s">
        <v>353</v>
      </c>
      <c r="E30" s="68" t="s">
        <v>10</v>
      </c>
      <c r="F30" s="29" t="s">
        <v>18</v>
      </c>
      <c r="G30" s="38">
        <v>80</v>
      </c>
      <c r="H30" s="25" t="s">
        <v>420</v>
      </c>
      <c r="I30" s="24" t="s">
        <v>577</v>
      </c>
      <c r="J30" s="24" t="s">
        <v>585</v>
      </c>
      <c r="K30" s="24" t="s">
        <v>591</v>
      </c>
      <c r="L30" s="24" t="s">
        <v>617</v>
      </c>
      <c r="M30" s="101" t="s">
        <v>614</v>
      </c>
      <c r="N30" s="24"/>
    </row>
    <row r="31" spans="2:14">
      <c r="B31" s="23">
        <f t="shared" si="0"/>
        <v>28</v>
      </c>
      <c r="C31" s="24" t="s">
        <v>708</v>
      </c>
      <c r="D31" s="24" t="s">
        <v>352</v>
      </c>
      <c r="E31" s="68" t="s">
        <v>10</v>
      </c>
      <c r="F31" s="29" t="s">
        <v>18</v>
      </c>
      <c r="G31" s="38">
        <v>80</v>
      </c>
      <c r="H31" s="25" t="s">
        <v>421</v>
      </c>
      <c r="I31" s="24" t="s">
        <v>577</v>
      </c>
      <c r="J31" s="24" t="s">
        <v>586</v>
      </c>
      <c r="K31" s="24" t="s">
        <v>591</v>
      </c>
      <c r="L31" s="24" t="s">
        <v>617</v>
      </c>
      <c r="M31" s="101" t="s">
        <v>615</v>
      </c>
      <c r="N31" s="24"/>
    </row>
    <row r="32" spans="2:14">
      <c r="B32" s="23">
        <f t="shared" si="0"/>
        <v>29</v>
      </c>
      <c r="C32" s="24" t="s">
        <v>709</v>
      </c>
      <c r="D32" s="24" t="s">
        <v>353</v>
      </c>
      <c r="E32" s="68" t="s">
        <v>10</v>
      </c>
      <c r="F32" s="29" t="s">
        <v>18</v>
      </c>
      <c r="G32" s="38">
        <v>80</v>
      </c>
      <c r="H32" s="25" t="s">
        <v>422</v>
      </c>
      <c r="I32" s="24" t="s">
        <v>577</v>
      </c>
      <c r="J32" s="24" t="s">
        <v>587</v>
      </c>
      <c r="K32" s="24" t="s">
        <v>591</v>
      </c>
      <c r="L32" s="24" t="s">
        <v>617</v>
      </c>
      <c r="M32" s="101" t="s">
        <v>616</v>
      </c>
      <c r="N32" s="24"/>
    </row>
    <row r="33" spans="2:14">
      <c r="B33" s="23">
        <f t="shared" si="0"/>
        <v>30</v>
      </c>
      <c r="C33" s="24" t="s">
        <v>355</v>
      </c>
      <c r="D33" s="24" t="s">
        <v>354</v>
      </c>
      <c r="E33" s="23" t="s">
        <v>397</v>
      </c>
      <c r="F33" s="23" t="s">
        <v>379</v>
      </c>
      <c r="G33" s="36">
        <v>255</v>
      </c>
      <c r="H33" s="25" t="s">
        <v>477</v>
      </c>
      <c r="I33" s="24" t="s">
        <v>577</v>
      </c>
      <c r="J33" s="24" t="s">
        <v>588</v>
      </c>
      <c r="K33" s="24" t="s">
        <v>591</v>
      </c>
      <c r="L33" s="24" t="s">
        <v>619</v>
      </c>
      <c r="M33" s="24" t="s">
        <v>621</v>
      </c>
      <c r="N33" s="24" t="s">
        <v>620</v>
      </c>
    </row>
    <row r="34" spans="2:14">
      <c r="B34" s="23">
        <f t="shared" si="0"/>
        <v>31</v>
      </c>
      <c r="C34" s="24" t="s">
        <v>357</v>
      </c>
      <c r="D34" s="24" t="s">
        <v>356</v>
      </c>
      <c r="E34" s="68" t="s">
        <v>10</v>
      </c>
      <c r="F34" s="23" t="s">
        <v>450</v>
      </c>
      <c r="G34" s="40">
        <v>10</v>
      </c>
      <c r="H34" s="25" t="s">
        <v>423</v>
      </c>
      <c r="I34" s="24" t="s">
        <v>577</v>
      </c>
      <c r="J34" s="24" t="s">
        <v>578</v>
      </c>
      <c r="K34" s="24" t="s">
        <v>591</v>
      </c>
      <c r="L34" s="24" t="s">
        <v>617</v>
      </c>
      <c r="M34" s="101" t="s">
        <v>607</v>
      </c>
      <c r="N34" s="24"/>
    </row>
    <row r="35" spans="2:14">
      <c r="B35" s="23">
        <f t="shared" si="0"/>
        <v>32</v>
      </c>
      <c r="C35" s="24" t="s">
        <v>359</v>
      </c>
      <c r="D35" s="24" t="s">
        <v>358</v>
      </c>
      <c r="E35" s="68" t="s">
        <v>10</v>
      </c>
      <c r="F35" s="29" t="s">
        <v>20</v>
      </c>
      <c r="G35" s="29">
        <v>9</v>
      </c>
      <c r="H35" s="25" t="s">
        <v>424</v>
      </c>
      <c r="I35" s="24" t="s">
        <v>577</v>
      </c>
      <c r="J35" s="24" t="s">
        <v>579</v>
      </c>
      <c r="K35" s="24" t="s">
        <v>591</v>
      </c>
      <c r="L35" s="24" t="s">
        <v>617</v>
      </c>
      <c r="M35" s="101" t="s">
        <v>608</v>
      </c>
      <c r="N35" s="24"/>
    </row>
    <row r="36" spans="2:14">
      <c r="B36" s="23">
        <f t="shared" si="0"/>
        <v>33</v>
      </c>
      <c r="C36" s="24" t="s">
        <v>433</v>
      </c>
      <c r="D36" s="24" t="s">
        <v>360</v>
      </c>
      <c r="E36" s="68" t="s">
        <v>10</v>
      </c>
      <c r="F36" s="29" t="s">
        <v>122</v>
      </c>
      <c r="G36" s="29">
        <v>4</v>
      </c>
      <c r="H36" s="25" t="s">
        <v>432</v>
      </c>
      <c r="I36" s="24" t="s">
        <v>577</v>
      </c>
      <c r="J36" s="24" t="s">
        <v>580</v>
      </c>
      <c r="K36" s="24" t="s">
        <v>591</v>
      </c>
      <c r="L36" s="24" t="s">
        <v>617</v>
      </c>
      <c r="M36" s="101" t="s">
        <v>609</v>
      </c>
      <c r="N36" s="24"/>
    </row>
    <row r="37" spans="2:14">
      <c r="B37" s="23">
        <f t="shared" si="0"/>
        <v>34</v>
      </c>
      <c r="C37" s="24" t="s">
        <v>362</v>
      </c>
      <c r="D37" s="24" t="s">
        <v>361</v>
      </c>
      <c r="E37" s="68" t="s">
        <v>10</v>
      </c>
      <c r="F37" s="29" t="s">
        <v>18</v>
      </c>
      <c r="G37" s="29">
        <v>255</v>
      </c>
      <c r="H37" s="25" t="s">
        <v>425</v>
      </c>
      <c r="I37" s="24" t="s">
        <v>577</v>
      </c>
      <c r="J37" s="24" t="s">
        <v>581</v>
      </c>
      <c r="K37" s="24" t="s">
        <v>591</v>
      </c>
      <c r="L37" s="24" t="s">
        <v>617</v>
      </c>
      <c r="M37" s="101" t="s">
        <v>610</v>
      </c>
      <c r="N37" s="24"/>
    </row>
    <row r="38" spans="2:14">
      <c r="B38" s="23">
        <f t="shared" si="0"/>
        <v>35</v>
      </c>
      <c r="C38" s="24" t="s">
        <v>364</v>
      </c>
      <c r="D38" s="24" t="s">
        <v>363</v>
      </c>
      <c r="E38" s="68" t="s">
        <v>10</v>
      </c>
      <c r="F38" s="29" t="s">
        <v>18</v>
      </c>
      <c r="G38" s="29">
        <v>255</v>
      </c>
      <c r="H38" s="25" t="s">
        <v>426</v>
      </c>
      <c r="I38" s="24" t="s">
        <v>577</v>
      </c>
      <c r="J38" s="24" t="s">
        <v>582</v>
      </c>
      <c r="K38" s="24" t="s">
        <v>591</v>
      </c>
      <c r="L38" s="24" t="s">
        <v>617</v>
      </c>
      <c r="M38" s="101" t="s">
        <v>611</v>
      </c>
      <c r="N38" s="24"/>
    </row>
    <row r="39" spans="2:14">
      <c r="B39" s="23">
        <f t="shared" si="0"/>
        <v>36</v>
      </c>
      <c r="C39" s="24" t="s">
        <v>399</v>
      </c>
      <c r="D39" s="24" t="s">
        <v>398</v>
      </c>
      <c r="E39" s="23" t="s">
        <v>397</v>
      </c>
      <c r="F39" s="29" t="s">
        <v>18</v>
      </c>
      <c r="G39" s="29">
        <v>255</v>
      </c>
      <c r="H39" s="25" t="s">
        <v>427</v>
      </c>
      <c r="I39" s="24" t="s">
        <v>577</v>
      </c>
      <c r="J39" s="24" t="s">
        <v>583</v>
      </c>
      <c r="K39" s="24" t="s">
        <v>591</v>
      </c>
      <c r="L39" s="24" t="s">
        <v>617</v>
      </c>
      <c r="M39" s="101" t="s">
        <v>612</v>
      </c>
      <c r="N39" s="24"/>
    </row>
    <row r="40" spans="2:14">
      <c r="B40" s="23">
        <f t="shared" si="0"/>
        <v>37</v>
      </c>
      <c r="C40" s="24" t="s">
        <v>400</v>
      </c>
      <c r="D40" s="24" t="s">
        <v>401</v>
      </c>
      <c r="E40" s="23" t="s">
        <v>397</v>
      </c>
      <c r="F40" s="29" t="s">
        <v>18</v>
      </c>
      <c r="G40" s="29">
        <v>255</v>
      </c>
      <c r="H40" s="25" t="s">
        <v>428</v>
      </c>
      <c r="I40" s="24"/>
      <c r="J40" s="24"/>
      <c r="K40" s="24"/>
      <c r="L40" s="24"/>
      <c r="M40" s="24"/>
      <c r="N40" s="24"/>
    </row>
    <row r="41" spans="2:14">
      <c r="B41" s="23">
        <f t="shared" si="0"/>
        <v>38</v>
      </c>
      <c r="C41" s="24" t="s">
        <v>710</v>
      </c>
      <c r="D41" s="24" t="s">
        <v>402</v>
      </c>
      <c r="E41" s="23" t="s">
        <v>397</v>
      </c>
      <c r="F41" s="29" t="s">
        <v>18</v>
      </c>
      <c r="G41" s="29">
        <v>255</v>
      </c>
      <c r="H41" s="25" t="s">
        <v>429</v>
      </c>
      <c r="I41" s="24"/>
      <c r="J41" s="24"/>
      <c r="K41" s="24"/>
      <c r="L41" s="24"/>
      <c r="M41" s="24"/>
      <c r="N41" s="24"/>
    </row>
    <row r="42" spans="2:14">
      <c r="B42" s="23">
        <f t="shared" si="0"/>
        <v>39</v>
      </c>
      <c r="C42" s="24" t="s">
        <v>403</v>
      </c>
      <c r="D42" s="24" t="s">
        <v>404</v>
      </c>
      <c r="E42" s="23" t="s">
        <v>397</v>
      </c>
      <c r="F42" s="29" t="s">
        <v>18</v>
      </c>
      <c r="G42" s="29">
        <v>255</v>
      </c>
      <c r="H42" s="25" t="s">
        <v>430</v>
      </c>
      <c r="I42" s="24"/>
      <c r="J42" s="24"/>
      <c r="K42" s="24"/>
      <c r="L42" s="24"/>
      <c r="M42" s="24"/>
      <c r="N42" s="24"/>
    </row>
    <row r="43" spans="2:14">
      <c r="B43" s="23">
        <f t="shared" si="0"/>
        <v>40</v>
      </c>
      <c r="C43" s="24" t="s">
        <v>405</v>
      </c>
      <c r="D43" s="24" t="s">
        <v>406</v>
      </c>
      <c r="E43" s="23" t="s">
        <v>397</v>
      </c>
      <c r="F43" s="29" t="s">
        <v>18</v>
      </c>
      <c r="G43" s="29">
        <v>255</v>
      </c>
      <c r="H43" s="25" t="s">
        <v>431</v>
      </c>
      <c r="I43" s="24"/>
      <c r="J43" s="24"/>
      <c r="K43" s="24"/>
      <c r="L43" s="24"/>
      <c r="M43" s="24"/>
      <c r="N43" s="24"/>
    </row>
    <row r="44" spans="2:14" hidden="1">
      <c r="B44" s="23">
        <f t="shared" si="0"/>
        <v>41</v>
      </c>
      <c r="C44" s="71" t="s">
        <v>320</v>
      </c>
      <c r="D44" s="71" t="s">
        <v>319</v>
      </c>
      <c r="E44" s="72" t="s">
        <v>397</v>
      </c>
      <c r="F44" s="73"/>
      <c r="G44" s="73"/>
      <c r="H44" s="74" t="s">
        <v>384</v>
      </c>
    </row>
    <row r="45" spans="2:14" hidden="1">
      <c r="B45" s="23">
        <f t="shared" si="0"/>
        <v>42</v>
      </c>
      <c r="C45" s="71" t="s">
        <v>321</v>
      </c>
      <c r="D45" s="71" t="s">
        <v>448</v>
      </c>
      <c r="E45" s="72" t="s">
        <v>14</v>
      </c>
      <c r="F45" s="70"/>
      <c r="G45" s="70"/>
      <c r="H45" s="74" t="s">
        <v>449</v>
      </c>
    </row>
    <row r="46" spans="2:14" hidden="1">
      <c r="B46" s="23">
        <f t="shared" si="0"/>
        <v>43</v>
      </c>
      <c r="C46" s="71" t="s">
        <v>323</v>
      </c>
      <c r="D46" s="71" t="s">
        <v>322</v>
      </c>
      <c r="E46" s="72" t="s">
        <v>10</v>
      </c>
      <c r="F46" s="71"/>
      <c r="G46" s="71"/>
      <c r="H46" s="76" t="s">
        <v>386</v>
      </c>
    </row>
    <row r="47" spans="2:14" hidden="1">
      <c r="B47" s="23">
        <f t="shared" si="0"/>
        <v>44</v>
      </c>
      <c r="C47" s="71" t="s">
        <v>325</v>
      </c>
      <c r="D47" s="71" t="s">
        <v>324</v>
      </c>
      <c r="E47" s="71"/>
      <c r="F47" s="71"/>
      <c r="G47" s="71"/>
      <c r="H47" s="74" t="s">
        <v>385</v>
      </c>
    </row>
    <row r="48" spans="2:14" hidden="1">
      <c r="B48" s="23">
        <f t="shared" si="0"/>
        <v>45</v>
      </c>
      <c r="C48" s="71" t="s">
        <v>327</v>
      </c>
      <c r="D48" s="71" t="s">
        <v>326</v>
      </c>
      <c r="E48" s="71"/>
      <c r="F48" s="71"/>
      <c r="G48" s="71"/>
      <c r="H48" s="74" t="s">
        <v>384</v>
      </c>
    </row>
    <row r="49" spans="2:8" hidden="1">
      <c r="B49" s="23">
        <f t="shared" si="0"/>
        <v>46</v>
      </c>
      <c r="C49" s="71" t="s">
        <v>342</v>
      </c>
      <c r="D49" s="71" t="s">
        <v>341</v>
      </c>
      <c r="E49" s="72" t="s">
        <v>10</v>
      </c>
      <c r="F49" s="71"/>
      <c r="G49" s="71"/>
      <c r="H49" s="76" t="s">
        <v>387</v>
      </c>
    </row>
    <row r="50" spans="2:8" hidden="1">
      <c r="B50" s="23">
        <f t="shared" si="0"/>
        <v>47</v>
      </c>
      <c r="C50" s="71" t="s">
        <v>42</v>
      </c>
      <c r="D50" s="71" t="s">
        <v>411</v>
      </c>
      <c r="E50" s="72" t="s">
        <v>10</v>
      </c>
      <c r="F50" s="71"/>
      <c r="G50" s="71"/>
      <c r="H50" s="75" t="s">
        <v>412</v>
      </c>
    </row>
    <row r="51" spans="2:8" hidden="1">
      <c r="B51" s="23">
        <f t="shared" si="0"/>
        <v>48</v>
      </c>
      <c r="C51" s="71" t="s">
        <v>344</v>
      </c>
      <c r="D51" s="71" t="s">
        <v>343</v>
      </c>
      <c r="E51" s="72" t="s">
        <v>10</v>
      </c>
      <c r="F51" s="71"/>
      <c r="G51" s="71"/>
      <c r="H51" s="76" t="s">
        <v>413</v>
      </c>
    </row>
    <row r="52" spans="2:8" hidden="1">
      <c r="B52" s="23">
        <f t="shared" si="0"/>
        <v>49</v>
      </c>
      <c r="C52" s="24" t="s">
        <v>414</v>
      </c>
      <c r="D52" s="24" t="s">
        <v>345</v>
      </c>
      <c r="E52" s="68" t="s">
        <v>10</v>
      </c>
      <c r="F52" s="24"/>
      <c r="G52" s="24"/>
      <c r="H52" s="25" t="s">
        <v>415</v>
      </c>
    </row>
    <row r="53" spans="2:8" hidden="1">
      <c r="B53" s="23">
        <f t="shared" si="0"/>
        <v>50</v>
      </c>
      <c r="C53" s="71" t="s">
        <v>347</v>
      </c>
      <c r="D53" s="71" t="s">
        <v>346</v>
      </c>
      <c r="E53" s="72" t="s">
        <v>10</v>
      </c>
      <c r="F53" s="71"/>
      <c r="G53" s="71"/>
      <c r="H53" s="74" t="s">
        <v>415</v>
      </c>
    </row>
    <row r="54" spans="2:8" hidden="1">
      <c r="B54" s="23">
        <f t="shared" si="0"/>
        <v>51</v>
      </c>
      <c r="C54" s="71" t="s">
        <v>349</v>
      </c>
      <c r="D54" s="71" t="s">
        <v>348</v>
      </c>
      <c r="E54" s="72" t="s">
        <v>10</v>
      </c>
      <c r="F54" s="71"/>
      <c r="G54" s="71"/>
      <c r="H54" s="74" t="s">
        <v>384</v>
      </c>
    </row>
    <row r="55" spans="2:8" hidden="1">
      <c r="B55" s="23">
        <f t="shared" si="0"/>
        <v>52</v>
      </c>
      <c r="C55" s="71" t="s">
        <v>351</v>
      </c>
      <c r="D55" s="71" t="s">
        <v>350</v>
      </c>
      <c r="E55" s="72" t="s">
        <v>10</v>
      </c>
      <c r="F55" s="71"/>
      <c r="G55" s="71"/>
      <c r="H55" s="75" t="s">
        <v>385</v>
      </c>
    </row>
    <row r="58" spans="2:8">
      <c r="H58" s="18"/>
    </row>
  </sheetData>
  <mergeCells count="2">
    <mergeCell ref="I2:J2"/>
    <mergeCell ref="L2:M2"/>
  </mergeCells>
  <phoneticPr fontId="5"/>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0FFCE-E785-43A3-8019-FFEAAA2705EF}">
  <sheetPr>
    <tabColor theme="7" tint="0.59999389629810485"/>
  </sheetPr>
  <dimension ref="B2:L22"/>
  <sheetViews>
    <sheetView zoomScale="90" zoomScaleNormal="90" workbookViewId="0">
      <selection activeCell="C9" sqref="C9"/>
    </sheetView>
  </sheetViews>
  <sheetFormatPr defaultRowHeight="16.5"/>
  <cols>
    <col min="1" max="2" width="4" style="18" customWidth="1"/>
    <col min="3" max="3" width="20.21875" style="18" bestFit="1" customWidth="1"/>
    <col min="4" max="4" width="44.77734375" style="18" hidden="1" customWidth="1"/>
    <col min="5" max="5" width="7.44140625" style="18" customWidth="1"/>
    <col min="6" max="6" width="10.33203125" style="18" bestFit="1" customWidth="1"/>
    <col min="7" max="7" width="11.6640625" style="18" bestFit="1" customWidth="1"/>
    <col min="8" max="8" width="53.21875" style="19" bestFit="1" customWidth="1"/>
    <col min="9" max="9" width="11" style="18" bestFit="1" customWidth="1"/>
    <col min="10" max="10" width="10.88671875" style="18" bestFit="1" customWidth="1"/>
    <col min="11" max="11" width="11" style="18" bestFit="1" customWidth="1"/>
    <col min="12" max="12" width="10.77734375" style="18" customWidth="1"/>
    <col min="13" max="16384" width="8.88671875" style="18"/>
  </cols>
  <sheetData>
    <row r="2" spans="2:12">
      <c r="B2" s="18" t="s">
        <v>376</v>
      </c>
      <c r="I2" s="117" t="s">
        <v>560</v>
      </c>
      <c r="J2" s="117"/>
      <c r="K2" s="118" t="s">
        <v>592</v>
      </c>
      <c r="L2" s="118"/>
    </row>
    <row r="3" spans="2:12">
      <c r="B3" s="20" t="s">
        <v>148</v>
      </c>
      <c r="C3" s="22" t="s">
        <v>104</v>
      </c>
      <c r="D3" s="22" t="s">
        <v>375</v>
      </c>
      <c r="E3" s="22" t="s">
        <v>103</v>
      </c>
      <c r="F3" s="22" t="s">
        <v>102</v>
      </c>
      <c r="G3" s="21" t="s">
        <v>101</v>
      </c>
      <c r="H3" s="21" t="s">
        <v>100</v>
      </c>
      <c r="I3" s="99" t="s">
        <v>561</v>
      </c>
      <c r="J3" s="99" t="s">
        <v>562</v>
      </c>
      <c r="K3" s="100" t="s">
        <v>561</v>
      </c>
      <c r="L3" s="100" t="s">
        <v>562</v>
      </c>
    </row>
    <row r="4" spans="2:12">
      <c r="B4" s="23">
        <f t="shared" ref="B4:B12" si="0">ROW()-3</f>
        <v>1</v>
      </c>
      <c r="C4" s="24" t="s">
        <v>377</v>
      </c>
      <c r="D4" s="24" t="s">
        <v>266</v>
      </c>
      <c r="E4" s="68" t="s">
        <v>10</v>
      </c>
      <c r="F4" s="23" t="s">
        <v>379</v>
      </c>
      <c r="G4" s="10">
        <v>64</v>
      </c>
      <c r="H4" s="25" t="s">
        <v>383</v>
      </c>
      <c r="I4" s="24" t="s">
        <v>567</v>
      </c>
      <c r="J4" s="24" t="s">
        <v>638</v>
      </c>
      <c r="K4" s="24" t="s">
        <v>617</v>
      </c>
      <c r="L4" s="24" t="s">
        <v>641</v>
      </c>
    </row>
    <row r="5" spans="2:12">
      <c r="B5" s="23">
        <f>ROW()-3</f>
        <v>2</v>
      </c>
      <c r="C5" s="24" t="s">
        <v>378</v>
      </c>
      <c r="D5" s="24" t="s">
        <v>266</v>
      </c>
      <c r="E5" s="68" t="s">
        <v>10</v>
      </c>
      <c r="F5" s="23" t="s">
        <v>20</v>
      </c>
      <c r="G5" s="23" t="s">
        <v>99</v>
      </c>
      <c r="H5" s="25" t="s">
        <v>456</v>
      </c>
      <c r="I5" s="24" t="s">
        <v>567</v>
      </c>
      <c r="J5" s="24" t="s">
        <v>639</v>
      </c>
      <c r="K5" s="24" t="s">
        <v>617</v>
      </c>
      <c r="L5" s="24" t="s">
        <v>640</v>
      </c>
    </row>
    <row r="6" spans="2:12">
      <c r="B6" s="23">
        <f t="shared" si="0"/>
        <v>3</v>
      </c>
      <c r="C6" s="24" t="s">
        <v>37</v>
      </c>
      <c r="D6" s="24" t="s">
        <v>365</v>
      </c>
      <c r="E6" s="23" t="s">
        <v>149</v>
      </c>
      <c r="F6" s="12" t="s">
        <v>16</v>
      </c>
      <c r="G6" s="12">
        <v>64</v>
      </c>
      <c r="H6" s="69" t="s">
        <v>645</v>
      </c>
      <c r="I6" s="24"/>
      <c r="J6" s="24"/>
      <c r="K6" s="24"/>
      <c r="L6" s="24"/>
    </row>
    <row r="7" spans="2:12">
      <c r="B7" s="23">
        <f t="shared" si="0"/>
        <v>4</v>
      </c>
      <c r="C7" s="24" t="s">
        <v>697</v>
      </c>
      <c r="D7" s="24" t="s">
        <v>366</v>
      </c>
      <c r="E7" s="23" t="s">
        <v>149</v>
      </c>
      <c r="F7" s="12" t="s">
        <v>16</v>
      </c>
      <c r="G7" s="12">
        <v>64</v>
      </c>
      <c r="H7" s="25" t="s">
        <v>453</v>
      </c>
      <c r="I7" s="24"/>
      <c r="J7" s="24"/>
      <c r="K7" s="24"/>
      <c r="L7" s="24"/>
    </row>
    <row r="8" spans="2:12">
      <c r="B8" s="23">
        <f t="shared" si="0"/>
        <v>5</v>
      </c>
      <c r="C8" s="24" t="s">
        <v>629</v>
      </c>
      <c r="D8" s="24" t="s">
        <v>367</v>
      </c>
      <c r="E8" s="23" t="s">
        <v>10</v>
      </c>
      <c r="F8" s="23" t="s">
        <v>20</v>
      </c>
      <c r="G8" s="40" t="s">
        <v>92</v>
      </c>
      <c r="H8" s="26" t="s">
        <v>454</v>
      </c>
      <c r="I8" s="24" t="s">
        <v>567</v>
      </c>
      <c r="J8" s="24" t="s">
        <v>623</v>
      </c>
      <c r="K8" s="24" t="s">
        <v>617</v>
      </c>
      <c r="L8" s="24" t="s">
        <v>627</v>
      </c>
    </row>
    <row r="9" spans="2:12">
      <c r="B9" s="23">
        <f t="shared" si="0"/>
        <v>6</v>
      </c>
      <c r="C9" s="24" t="s">
        <v>712</v>
      </c>
      <c r="D9" s="24" t="s">
        <v>368</v>
      </c>
      <c r="E9" s="23" t="s">
        <v>10</v>
      </c>
      <c r="F9" s="23" t="s">
        <v>20</v>
      </c>
      <c r="G9" s="40" t="s">
        <v>92</v>
      </c>
      <c r="H9" s="26" t="s">
        <v>632</v>
      </c>
      <c r="I9" s="24" t="s">
        <v>567</v>
      </c>
      <c r="J9" s="24" t="s">
        <v>630</v>
      </c>
      <c r="K9" s="24" t="s">
        <v>617</v>
      </c>
      <c r="L9" s="24" t="s">
        <v>631</v>
      </c>
    </row>
    <row r="10" spans="2:12" ht="66">
      <c r="B10" s="23">
        <f t="shared" si="0"/>
        <v>7</v>
      </c>
      <c r="C10" s="24" t="s">
        <v>370</v>
      </c>
      <c r="D10" s="24" t="s">
        <v>369</v>
      </c>
      <c r="E10" s="23" t="s">
        <v>10</v>
      </c>
      <c r="F10" s="23" t="s">
        <v>20</v>
      </c>
      <c r="G10" s="40" t="s">
        <v>92</v>
      </c>
      <c r="H10" s="15" t="s">
        <v>471</v>
      </c>
      <c r="I10" s="24" t="s">
        <v>567</v>
      </c>
      <c r="J10" s="24" t="s">
        <v>622</v>
      </c>
      <c r="K10" s="24" t="s">
        <v>617</v>
      </c>
      <c r="L10" s="24" t="s">
        <v>626</v>
      </c>
    </row>
    <row r="11" spans="2:12">
      <c r="B11" s="23">
        <f t="shared" si="0"/>
        <v>8</v>
      </c>
      <c r="C11" s="24" t="s">
        <v>374</v>
      </c>
      <c r="D11" s="24" t="s">
        <v>373</v>
      </c>
      <c r="E11" s="23" t="s">
        <v>10</v>
      </c>
      <c r="F11" s="23" t="s">
        <v>20</v>
      </c>
      <c r="G11" s="40" t="s">
        <v>92</v>
      </c>
      <c r="H11" s="25" t="s">
        <v>455</v>
      </c>
      <c r="I11" s="24" t="s">
        <v>567</v>
      </c>
      <c r="J11" s="24" t="s">
        <v>624</v>
      </c>
      <c r="K11" s="24" t="s">
        <v>617</v>
      </c>
      <c r="L11" s="24" t="s">
        <v>625</v>
      </c>
    </row>
    <row r="12" spans="2:12" hidden="1">
      <c r="B12" s="23">
        <f t="shared" si="0"/>
        <v>9</v>
      </c>
      <c r="C12" s="71" t="s">
        <v>372</v>
      </c>
      <c r="D12" s="71" t="s">
        <v>371</v>
      </c>
      <c r="E12" s="70" t="s">
        <v>10</v>
      </c>
      <c r="F12" s="70" t="s">
        <v>20</v>
      </c>
      <c r="G12" s="73" t="s">
        <v>92</v>
      </c>
      <c r="H12" s="74" t="s">
        <v>457</v>
      </c>
    </row>
    <row r="22" spans="8:8">
      <c r="H22" s="18"/>
    </row>
  </sheetData>
  <mergeCells count="2">
    <mergeCell ref="I2:J2"/>
    <mergeCell ref="K2:L2"/>
  </mergeCells>
  <phoneticPr fontId="5"/>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5C2D0-2429-4086-B97A-DDD8648520FA}">
  <sheetPr>
    <tabColor theme="5" tint="0.79998168889431442"/>
  </sheetPr>
  <dimension ref="B2:G17"/>
  <sheetViews>
    <sheetView zoomScale="90" zoomScaleNormal="90" workbookViewId="0">
      <selection activeCell="G11" sqref="G11"/>
    </sheetView>
  </sheetViews>
  <sheetFormatPr defaultRowHeight="15.75"/>
  <cols>
    <col min="1" max="1" width="3.6640625" customWidth="1"/>
    <col min="2" max="2" width="3.21875" bestFit="1" customWidth="1"/>
    <col min="3" max="3" width="19.88671875" bestFit="1" customWidth="1"/>
    <col min="4" max="4" width="4.21875" bestFit="1" customWidth="1"/>
    <col min="5" max="5" width="13.109375" customWidth="1"/>
    <col min="6" max="6" width="11.21875" bestFit="1" customWidth="1"/>
    <col min="7" max="7" width="83.44140625" customWidth="1"/>
  </cols>
  <sheetData>
    <row r="2" spans="2:7" ht="16.5">
      <c r="B2" s="84" t="s">
        <v>558</v>
      </c>
      <c r="C2" s="84"/>
      <c r="D2" s="84"/>
      <c r="E2" s="84"/>
      <c r="F2" s="84"/>
      <c r="G2" s="84"/>
    </row>
    <row r="3" spans="2:7" ht="16.5">
      <c r="B3" s="20" t="s">
        <v>148</v>
      </c>
      <c r="C3" s="83" t="s">
        <v>104</v>
      </c>
      <c r="D3" s="22" t="s">
        <v>103</v>
      </c>
      <c r="E3" s="22" t="s">
        <v>102</v>
      </c>
      <c r="F3" s="22" t="s">
        <v>101</v>
      </c>
      <c r="G3" s="21" t="s">
        <v>100</v>
      </c>
    </row>
    <row r="4" spans="2:7" ht="16.5">
      <c r="B4" s="23">
        <f t="shared" ref="B4:B17" si="0">ROW()-3</f>
        <v>1</v>
      </c>
      <c r="C4" s="85" t="s">
        <v>491</v>
      </c>
      <c r="D4" s="23" t="s">
        <v>10</v>
      </c>
      <c r="E4" s="23" t="s">
        <v>379</v>
      </c>
      <c r="F4" s="86">
        <v>25</v>
      </c>
      <c r="G4" s="87" t="s">
        <v>505</v>
      </c>
    </row>
    <row r="5" spans="2:7" ht="33">
      <c r="B5" s="23">
        <f t="shared" si="0"/>
        <v>2</v>
      </c>
      <c r="C5" s="85" t="s">
        <v>492</v>
      </c>
      <c r="D5" s="23" t="s">
        <v>10</v>
      </c>
      <c r="E5" s="29" t="s">
        <v>122</v>
      </c>
      <c r="F5" s="86">
        <v>50</v>
      </c>
      <c r="G5" s="87" t="s">
        <v>506</v>
      </c>
    </row>
    <row r="6" spans="2:7" ht="16.5">
      <c r="B6" s="23">
        <f t="shared" si="0"/>
        <v>3</v>
      </c>
      <c r="C6" s="85" t="s">
        <v>493</v>
      </c>
      <c r="D6" s="23" t="s">
        <v>397</v>
      </c>
      <c r="E6" s="29" t="s">
        <v>122</v>
      </c>
      <c r="F6" s="86">
        <v>50</v>
      </c>
      <c r="G6" s="88" t="s">
        <v>507</v>
      </c>
    </row>
    <row r="7" spans="2:7" ht="16.5">
      <c r="B7" s="23">
        <f t="shared" si="0"/>
        <v>4</v>
      </c>
      <c r="C7" s="85" t="s">
        <v>494</v>
      </c>
      <c r="D7" s="23" t="s">
        <v>10</v>
      </c>
      <c r="E7" s="23" t="s">
        <v>379</v>
      </c>
      <c r="F7" s="86">
        <v>50</v>
      </c>
      <c r="G7" s="88" t="s">
        <v>556</v>
      </c>
    </row>
    <row r="8" spans="2:7" ht="16.5">
      <c r="B8" s="23">
        <f t="shared" si="0"/>
        <v>5</v>
      </c>
      <c r="C8" s="85" t="s">
        <v>145</v>
      </c>
      <c r="D8" s="23" t="s">
        <v>397</v>
      </c>
      <c r="E8" s="23" t="s">
        <v>379</v>
      </c>
      <c r="F8" s="86">
        <v>10</v>
      </c>
      <c r="G8" s="88" t="s">
        <v>555</v>
      </c>
    </row>
    <row r="9" spans="2:7" ht="16.5">
      <c r="B9" s="23">
        <f t="shared" si="0"/>
        <v>6</v>
      </c>
      <c r="C9" s="85" t="s">
        <v>495</v>
      </c>
      <c r="D9" s="23" t="s">
        <v>397</v>
      </c>
      <c r="E9" s="86" t="s">
        <v>489</v>
      </c>
      <c r="F9" s="86" t="s">
        <v>490</v>
      </c>
      <c r="G9" s="88" t="s">
        <v>504</v>
      </c>
    </row>
    <row r="10" spans="2:7" ht="16.5">
      <c r="B10" s="23">
        <f t="shared" si="0"/>
        <v>7</v>
      </c>
      <c r="C10" s="85" t="s">
        <v>496</v>
      </c>
      <c r="D10" s="23" t="s">
        <v>397</v>
      </c>
      <c r="E10" s="86" t="s">
        <v>489</v>
      </c>
      <c r="F10" s="86" t="s">
        <v>490</v>
      </c>
      <c r="G10" s="88" t="s">
        <v>504</v>
      </c>
    </row>
    <row r="11" spans="2:7" ht="16.5">
      <c r="B11" s="23">
        <f t="shared" si="0"/>
        <v>8</v>
      </c>
      <c r="C11" s="85" t="s">
        <v>589</v>
      </c>
      <c r="D11" s="23" t="s">
        <v>397</v>
      </c>
      <c r="E11" s="86" t="s">
        <v>489</v>
      </c>
      <c r="F11" s="86">
        <v>5000</v>
      </c>
      <c r="G11" s="88" t="s">
        <v>695</v>
      </c>
    </row>
    <row r="12" spans="2:7" ht="16.5">
      <c r="B12" s="23">
        <f t="shared" si="0"/>
        <v>9</v>
      </c>
      <c r="C12" s="85" t="s">
        <v>497</v>
      </c>
      <c r="D12" s="23" t="s">
        <v>10</v>
      </c>
      <c r="E12" s="23" t="s">
        <v>379</v>
      </c>
      <c r="F12" s="86">
        <v>50</v>
      </c>
      <c r="G12" s="88" t="s">
        <v>508</v>
      </c>
    </row>
    <row r="13" spans="2:7" ht="16.5">
      <c r="B13" s="23">
        <f t="shared" si="0"/>
        <v>10</v>
      </c>
      <c r="C13" s="85" t="s">
        <v>498</v>
      </c>
      <c r="D13" s="23" t="s">
        <v>10</v>
      </c>
      <c r="E13" s="23" t="s">
        <v>20</v>
      </c>
      <c r="F13" s="86">
        <v>1</v>
      </c>
      <c r="G13" s="89" t="s">
        <v>499</v>
      </c>
    </row>
    <row r="14" spans="2:7" ht="16.5">
      <c r="B14" s="23">
        <f t="shared" si="0"/>
        <v>11</v>
      </c>
      <c r="C14" s="85" t="s">
        <v>500</v>
      </c>
      <c r="D14" s="23" t="s">
        <v>10</v>
      </c>
      <c r="E14" s="23" t="s">
        <v>20</v>
      </c>
      <c r="F14" s="86">
        <v>1</v>
      </c>
      <c r="G14" s="89" t="s">
        <v>499</v>
      </c>
    </row>
    <row r="15" spans="2:7" ht="16.5">
      <c r="B15" s="23">
        <f t="shared" si="0"/>
        <v>12</v>
      </c>
      <c r="C15" s="85" t="s">
        <v>501</v>
      </c>
      <c r="D15" s="23" t="s">
        <v>10</v>
      </c>
      <c r="E15" s="23" t="s">
        <v>20</v>
      </c>
      <c r="F15" s="86">
        <v>1</v>
      </c>
      <c r="G15" s="89" t="s">
        <v>499</v>
      </c>
    </row>
    <row r="16" spans="2:7" ht="33">
      <c r="B16" s="23">
        <f t="shared" si="0"/>
        <v>13</v>
      </c>
      <c r="C16" s="85" t="s">
        <v>502</v>
      </c>
      <c r="D16" s="23" t="s">
        <v>10</v>
      </c>
      <c r="E16" s="29" t="s">
        <v>122</v>
      </c>
      <c r="F16" s="86">
        <v>50</v>
      </c>
      <c r="G16" s="87" t="s">
        <v>506</v>
      </c>
    </row>
    <row r="17" spans="2:7" ht="16.5">
      <c r="B17" s="23">
        <f t="shared" si="0"/>
        <v>14</v>
      </c>
      <c r="C17" s="85" t="s">
        <v>503</v>
      </c>
      <c r="D17" s="23" t="s">
        <v>10</v>
      </c>
      <c r="E17" s="23" t="s">
        <v>379</v>
      </c>
      <c r="F17" s="86">
        <v>100</v>
      </c>
      <c r="G17" s="88" t="s">
        <v>509</v>
      </c>
    </row>
  </sheetData>
  <phoneticPr fontId="5"/>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7E96-2840-49A9-8556-9E68ACB65CD0}">
  <dimension ref="A1:AA995"/>
  <sheetViews>
    <sheetView workbookViewId="0">
      <pane xSplit="1" ySplit="1" topLeftCell="B2" activePane="bottomRight" state="frozen"/>
      <selection activeCell="B3" sqref="B3"/>
      <selection pane="topRight" activeCell="B3" sqref="B3"/>
      <selection pane="bottomLeft" activeCell="B3" sqref="B3"/>
      <selection pane="bottomRight" activeCell="D25" sqref="D25"/>
    </sheetView>
  </sheetViews>
  <sheetFormatPr defaultColWidth="11.21875" defaultRowHeight="15" customHeight="1"/>
  <cols>
    <col min="1" max="1" width="6.44140625" style="95" bestFit="1" customWidth="1"/>
    <col min="2" max="2" width="37.109375" style="95" bestFit="1" customWidth="1"/>
    <col min="3" max="14" width="14.5546875" style="91" customWidth="1"/>
    <col min="15" max="23" width="14.44140625" style="91" customWidth="1"/>
    <col min="24" max="27" width="6.77734375" style="91" customWidth="1"/>
    <col min="28" max="16384" width="11.21875" style="91"/>
  </cols>
  <sheetData>
    <row r="1" spans="1:27" ht="16.5">
      <c r="A1" s="96" t="s">
        <v>510</v>
      </c>
      <c r="B1" s="97" t="s">
        <v>532</v>
      </c>
    </row>
    <row r="2" spans="1:27" ht="16.5">
      <c r="A2" s="93" t="s">
        <v>224</v>
      </c>
      <c r="B2" s="93" t="s">
        <v>533</v>
      </c>
      <c r="C2" s="90"/>
      <c r="D2" s="90"/>
      <c r="E2" s="90"/>
      <c r="F2" s="90"/>
      <c r="G2" s="90"/>
      <c r="H2" s="90"/>
      <c r="I2" s="90"/>
      <c r="J2" s="90"/>
      <c r="K2" s="90"/>
      <c r="L2" s="90"/>
      <c r="M2" s="90"/>
      <c r="N2" s="90"/>
      <c r="O2" s="90"/>
      <c r="P2" s="90"/>
      <c r="Q2" s="90"/>
      <c r="R2" s="90"/>
      <c r="S2" s="90"/>
      <c r="T2" s="90"/>
      <c r="U2" s="90"/>
      <c r="V2" s="90"/>
      <c r="W2" s="90"/>
      <c r="X2" s="90"/>
      <c r="Y2" s="90"/>
      <c r="Z2" s="90"/>
      <c r="AA2" s="90"/>
    </row>
    <row r="3" spans="1:27" ht="16.5">
      <c r="A3" s="93" t="s">
        <v>511</v>
      </c>
      <c r="B3" s="94" t="s">
        <v>534</v>
      </c>
      <c r="C3" s="90"/>
      <c r="D3" s="90"/>
      <c r="E3" s="90"/>
      <c r="F3" s="90"/>
      <c r="G3" s="90"/>
      <c r="H3" s="90"/>
      <c r="I3" s="90"/>
      <c r="J3" s="90"/>
      <c r="K3" s="90"/>
      <c r="L3" s="90"/>
      <c r="M3" s="90"/>
      <c r="N3" s="90"/>
      <c r="O3" s="90"/>
      <c r="P3" s="90"/>
      <c r="Q3" s="90"/>
      <c r="R3" s="90"/>
      <c r="S3" s="90"/>
      <c r="T3" s="90"/>
      <c r="U3" s="90"/>
      <c r="V3" s="90"/>
      <c r="W3" s="90"/>
      <c r="X3" s="90"/>
      <c r="Y3" s="90"/>
      <c r="Z3" s="90"/>
      <c r="AA3" s="90"/>
    </row>
    <row r="4" spans="1:27" ht="16.5">
      <c r="A4" s="93" t="s">
        <v>512</v>
      </c>
      <c r="B4" s="94" t="s">
        <v>535</v>
      </c>
      <c r="E4" s="90"/>
      <c r="F4" s="90"/>
      <c r="G4" s="90"/>
      <c r="H4" s="90"/>
      <c r="I4" s="90"/>
      <c r="J4" s="90"/>
      <c r="K4" s="90"/>
      <c r="L4" s="90"/>
      <c r="M4" s="90"/>
      <c r="N4" s="90"/>
      <c r="O4" s="90"/>
      <c r="P4" s="90"/>
      <c r="Q4" s="90"/>
      <c r="R4" s="90"/>
      <c r="S4" s="90"/>
      <c r="T4" s="90"/>
      <c r="U4" s="90"/>
      <c r="V4" s="90"/>
      <c r="W4" s="90"/>
      <c r="X4" s="90"/>
      <c r="Y4" s="90"/>
      <c r="Z4" s="90"/>
      <c r="AA4" s="90"/>
    </row>
    <row r="5" spans="1:27" ht="16.5">
      <c r="A5" s="93" t="s">
        <v>513</v>
      </c>
      <c r="B5" s="94" t="s">
        <v>536</v>
      </c>
      <c r="E5" s="90"/>
      <c r="F5" s="90"/>
      <c r="G5" s="90"/>
      <c r="H5" s="90"/>
      <c r="I5" s="90"/>
      <c r="J5" s="90"/>
      <c r="K5" s="90"/>
      <c r="L5" s="90"/>
      <c r="M5" s="90"/>
      <c r="N5" s="90"/>
      <c r="O5" s="90"/>
      <c r="P5" s="90"/>
      <c r="Q5" s="90"/>
      <c r="R5" s="90"/>
      <c r="S5" s="90"/>
      <c r="T5" s="90"/>
      <c r="U5" s="90"/>
      <c r="V5" s="90"/>
      <c r="W5" s="90"/>
      <c r="X5" s="90"/>
      <c r="Y5" s="90"/>
      <c r="Z5" s="90"/>
      <c r="AA5" s="90"/>
    </row>
    <row r="6" spans="1:27" ht="16.5">
      <c r="A6" s="93" t="s">
        <v>514</v>
      </c>
      <c r="B6" s="93" t="s">
        <v>537</v>
      </c>
      <c r="E6" s="90"/>
      <c r="F6" s="90"/>
      <c r="G6" s="90"/>
      <c r="H6" s="90"/>
      <c r="I6" s="90"/>
      <c r="J6" s="90"/>
      <c r="K6" s="90"/>
      <c r="L6" s="90"/>
      <c r="M6" s="90"/>
      <c r="N6" s="90"/>
      <c r="O6" s="90"/>
      <c r="P6" s="90"/>
      <c r="Q6" s="90"/>
      <c r="R6" s="90"/>
      <c r="S6" s="90"/>
      <c r="T6" s="90"/>
      <c r="U6" s="90"/>
      <c r="V6" s="90"/>
      <c r="W6" s="90"/>
      <c r="X6" s="90"/>
      <c r="Y6" s="90"/>
      <c r="Z6" s="90"/>
      <c r="AA6" s="90"/>
    </row>
    <row r="7" spans="1:27" ht="16.5">
      <c r="A7" s="93" t="s">
        <v>515</v>
      </c>
      <c r="B7" s="93" t="s">
        <v>538</v>
      </c>
      <c r="E7" s="90"/>
      <c r="F7" s="90"/>
      <c r="G7" s="90"/>
      <c r="H7" s="90"/>
      <c r="I7" s="90"/>
      <c r="J7" s="90"/>
      <c r="K7" s="90"/>
      <c r="L7" s="90"/>
      <c r="M7" s="90"/>
      <c r="N7" s="90"/>
      <c r="O7" s="90"/>
      <c r="P7" s="90"/>
      <c r="Q7" s="90"/>
      <c r="R7" s="90"/>
      <c r="S7" s="90"/>
      <c r="T7" s="90"/>
      <c r="U7" s="90"/>
      <c r="V7" s="90"/>
      <c r="W7" s="90"/>
      <c r="X7" s="90"/>
      <c r="Y7" s="90"/>
      <c r="Z7" s="90"/>
      <c r="AA7" s="90"/>
    </row>
    <row r="8" spans="1:27" ht="16.5">
      <c r="A8" s="93" t="s">
        <v>516</v>
      </c>
      <c r="B8" s="93" t="s">
        <v>539</v>
      </c>
      <c r="E8" s="90"/>
      <c r="F8" s="90"/>
      <c r="G8" s="90"/>
      <c r="H8" s="90"/>
      <c r="I8" s="90"/>
      <c r="J8" s="90"/>
      <c r="K8" s="90"/>
      <c r="L8" s="90"/>
      <c r="M8" s="90"/>
      <c r="N8" s="90"/>
      <c r="O8" s="90"/>
      <c r="P8" s="90"/>
      <c r="Q8" s="90"/>
      <c r="R8" s="90"/>
      <c r="S8" s="90"/>
      <c r="T8" s="90"/>
      <c r="U8" s="90"/>
      <c r="V8" s="90"/>
      <c r="W8" s="90"/>
      <c r="X8" s="90"/>
      <c r="Y8" s="90"/>
      <c r="Z8" s="90"/>
      <c r="AA8" s="90"/>
    </row>
    <row r="9" spans="1:27" ht="16.5">
      <c r="A9" s="93" t="s">
        <v>517</v>
      </c>
      <c r="B9" s="93" t="s">
        <v>540</v>
      </c>
      <c r="E9" s="92"/>
      <c r="F9" s="92"/>
      <c r="G9" s="92"/>
      <c r="H9" s="92"/>
      <c r="I9" s="92"/>
      <c r="J9" s="92"/>
      <c r="K9" s="92"/>
      <c r="L9" s="92"/>
      <c r="M9" s="90"/>
      <c r="N9" s="90"/>
      <c r="O9" s="90"/>
      <c r="P9" s="90"/>
      <c r="Q9" s="90"/>
      <c r="R9" s="90"/>
      <c r="S9" s="90"/>
      <c r="T9" s="90"/>
      <c r="U9" s="90"/>
      <c r="V9" s="90"/>
      <c r="W9" s="90"/>
      <c r="X9" s="90"/>
      <c r="Y9" s="90"/>
      <c r="Z9" s="90"/>
      <c r="AA9" s="90"/>
    </row>
    <row r="10" spans="1:27" ht="16.5">
      <c r="A10" s="93" t="s">
        <v>518</v>
      </c>
      <c r="B10" s="93" t="s">
        <v>541</v>
      </c>
      <c r="E10" s="90"/>
      <c r="F10" s="90"/>
      <c r="G10" s="90"/>
      <c r="H10" s="90"/>
      <c r="I10" s="90"/>
      <c r="J10" s="90"/>
      <c r="K10" s="90"/>
      <c r="L10" s="90"/>
      <c r="M10" s="90"/>
      <c r="N10" s="90"/>
      <c r="O10" s="90"/>
      <c r="P10" s="90"/>
      <c r="Q10" s="90"/>
      <c r="R10" s="90"/>
      <c r="S10" s="90"/>
      <c r="T10" s="90"/>
      <c r="U10" s="90"/>
      <c r="V10" s="90"/>
      <c r="W10" s="90"/>
      <c r="X10" s="90"/>
      <c r="Y10" s="90"/>
      <c r="Z10" s="90"/>
      <c r="AA10" s="90"/>
    </row>
    <row r="11" spans="1:27" ht="16.5">
      <c r="A11" s="93" t="s">
        <v>519</v>
      </c>
      <c r="B11" s="93" t="s">
        <v>542</v>
      </c>
      <c r="E11" s="90"/>
      <c r="F11" s="90"/>
      <c r="G11" s="90"/>
      <c r="H11" s="90"/>
      <c r="I11" s="90"/>
      <c r="J11" s="90"/>
      <c r="K11" s="90"/>
      <c r="L11" s="90"/>
      <c r="M11" s="90"/>
      <c r="N11" s="90"/>
      <c r="O11" s="90"/>
      <c r="P11" s="90"/>
      <c r="Q11" s="90"/>
      <c r="R11" s="90"/>
      <c r="S11" s="90"/>
      <c r="T11" s="90"/>
      <c r="U11" s="90"/>
      <c r="V11" s="90"/>
      <c r="W11" s="90"/>
      <c r="X11" s="90"/>
      <c r="Y11" s="90"/>
      <c r="Z11" s="90"/>
      <c r="AA11" s="90"/>
    </row>
    <row r="12" spans="1:27" ht="16.5">
      <c r="A12" s="93" t="s">
        <v>520</v>
      </c>
      <c r="B12" s="93" t="s">
        <v>543</v>
      </c>
      <c r="E12" s="90"/>
      <c r="F12" s="90"/>
      <c r="G12" s="90"/>
      <c r="H12" s="90"/>
      <c r="I12" s="90"/>
      <c r="J12" s="90"/>
      <c r="K12" s="90"/>
      <c r="L12" s="90"/>
      <c r="M12" s="90"/>
      <c r="N12" s="90"/>
      <c r="O12" s="90"/>
      <c r="P12" s="90"/>
      <c r="Q12" s="90"/>
      <c r="R12" s="90"/>
      <c r="S12" s="90"/>
      <c r="T12" s="90"/>
      <c r="U12" s="90"/>
      <c r="V12" s="90"/>
      <c r="W12" s="90"/>
      <c r="X12" s="90"/>
      <c r="Y12" s="90"/>
      <c r="Z12" s="90"/>
      <c r="AA12" s="90"/>
    </row>
    <row r="13" spans="1:27" ht="16.5">
      <c r="A13" s="93" t="s">
        <v>521</v>
      </c>
      <c r="B13" s="93" t="s">
        <v>544</v>
      </c>
      <c r="E13" s="90"/>
      <c r="F13" s="90"/>
      <c r="G13" s="90"/>
      <c r="H13" s="90"/>
      <c r="I13" s="90"/>
      <c r="J13" s="90"/>
      <c r="K13" s="90"/>
      <c r="L13" s="90"/>
      <c r="M13" s="90"/>
      <c r="N13" s="90"/>
      <c r="O13" s="90"/>
      <c r="P13" s="90"/>
      <c r="Q13" s="90"/>
      <c r="R13" s="90"/>
      <c r="S13" s="90"/>
      <c r="T13" s="90"/>
      <c r="U13" s="90"/>
      <c r="V13" s="90"/>
      <c r="W13" s="90"/>
      <c r="X13" s="90"/>
      <c r="Y13" s="90"/>
      <c r="Z13" s="90"/>
      <c r="AA13" s="90"/>
    </row>
    <row r="14" spans="1:27" ht="16.5">
      <c r="A14" s="93" t="s">
        <v>522</v>
      </c>
      <c r="B14" s="93" t="s">
        <v>545</v>
      </c>
      <c r="E14" s="90"/>
      <c r="F14" s="90"/>
      <c r="G14" s="90"/>
      <c r="H14" s="90"/>
      <c r="I14" s="90"/>
      <c r="J14" s="90"/>
      <c r="K14" s="90"/>
      <c r="L14" s="90"/>
      <c r="M14" s="90"/>
      <c r="N14" s="90"/>
      <c r="O14" s="90"/>
      <c r="P14" s="90"/>
      <c r="Q14" s="90"/>
      <c r="R14" s="90"/>
      <c r="S14" s="90"/>
      <c r="T14" s="90"/>
      <c r="U14" s="90"/>
      <c r="V14" s="90"/>
      <c r="W14" s="90"/>
      <c r="X14" s="90"/>
      <c r="Y14" s="90"/>
      <c r="Z14" s="90"/>
      <c r="AA14" s="90"/>
    </row>
    <row r="15" spans="1:27" ht="16.5">
      <c r="A15" s="93" t="s">
        <v>523</v>
      </c>
      <c r="B15" s="93" t="s">
        <v>546</v>
      </c>
      <c r="E15" s="90"/>
      <c r="F15" s="90"/>
      <c r="G15" s="90"/>
      <c r="H15" s="90"/>
      <c r="I15" s="90"/>
      <c r="J15" s="90"/>
      <c r="K15" s="90"/>
      <c r="L15" s="90"/>
      <c r="M15" s="90"/>
      <c r="N15" s="90"/>
      <c r="O15" s="90"/>
      <c r="P15" s="90"/>
      <c r="Q15" s="90"/>
      <c r="R15" s="90"/>
      <c r="S15" s="90"/>
      <c r="T15" s="90"/>
      <c r="U15" s="90"/>
      <c r="V15" s="90"/>
      <c r="W15" s="90"/>
      <c r="X15" s="90"/>
      <c r="Y15" s="90"/>
      <c r="Z15" s="90"/>
      <c r="AA15" s="90"/>
    </row>
    <row r="16" spans="1:27" ht="16.5">
      <c r="A16" s="93" t="s">
        <v>524</v>
      </c>
      <c r="B16" s="93" t="s">
        <v>547</v>
      </c>
      <c r="E16" s="90"/>
      <c r="F16" s="90"/>
      <c r="G16" s="90"/>
      <c r="H16" s="90"/>
      <c r="I16" s="90"/>
      <c r="J16" s="90"/>
      <c r="K16" s="90"/>
      <c r="L16" s="90"/>
      <c r="M16" s="90"/>
      <c r="N16" s="90"/>
      <c r="O16" s="90"/>
      <c r="P16" s="90"/>
      <c r="Q16" s="90"/>
      <c r="R16" s="90"/>
      <c r="S16" s="90"/>
      <c r="T16" s="90"/>
      <c r="U16" s="90"/>
      <c r="V16" s="90"/>
      <c r="W16" s="90"/>
      <c r="X16" s="90"/>
      <c r="Y16" s="90"/>
      <c r="Z16" s="90"/>
      <c r="AA16" s="90"/>
    </row>
    <row r="17" spans="1:27" ht="16.5">
      <c r="A17" s="93" t="s">
        <v>525</v>
      </c>
      <c r="B17" s="93" t="s">
        <v>548</v>
      </c>
      <c r="E17" s="90"/>
      <c r="F17" s="90"/>
      <c r="G17" s="90"/>
      <c r="H17" s="90"/>
      <c r="I17" s="90"/>
      <c r="J17" s="90"/>
      <c r="K17" s="90"/>
      <c r="L17" s="90"/>
      <c r="M17" s="90"/>
      <c r="N17" s="90"/>
      <c r="O17" s="90"/>
      <c r="P17" s="90"/>
      <c r="Q17" s="90"/>
      <c r="R17" s="90"/>
      <c r="S17" s="90"/>
      <c r="T17" s="90"/>
      <c r="U17" s="90"/>
      <c r="V17" s="90"/>
      <c r="W17" s="90"/>
      <c r="X17" s="90"/>
      <c r="Y17" s="90"/>
      <c r="Z17" s="90"/>
      <c r="AA17" s="90"/>
    </row>
    <row r="18" spans="1:27" ht="16.5">
      <c r="A18" s="93" t="s">
        <v>526</v>
      </c>
      <c r="B18" s="93" t="s">
        <v>549</v>
      </c>
      <c r="E18" s="90"/>
      <c r="F18" s="90"/>
      <c r="G18" s="90"/>
      <c r="H18" s="90"/>
      <c r="I18" s="90"/>
      <c r="J18" s="90"/>
      <c r="K18" s="90"/>
      <c r="L18" s="90"/>
      <c r="M18" s="90"/>
      <c r="N18" s="90"/>
      <c r="O18" s="90"/>
      <c r="P18" s="90"/>
      <c r="Q18" s="90"/>
      <c r="R18" s="90"/>
      <c r="S18" s="90"/>
      <c r="T18" s="90"/>
      <c r="U18" s="90"/>
      <c r="V18" s="90"/>
      <c r="W18" s="90"/>
      <c r="X18" s="90"/>
      <c r="Y18" s="90"/>
      <c r="Z18" s="90"/>
      <c r="AA18" s="90"/>
    </row>
    <row r="19" spans="1:27" ht="16.5">
      <c r="A19" s="93" t="s">
        <v>527</v>
      </c>
      <c r="B19" s="93" t="s">
        <v>550</v>
      </c>
      <c r="E19" s="90"/>
      <c r="F19" s="90"/>
      <c r="G19" s="90"/>
      <c r="H19" s="90"/>
      <c r="I19" s="90"/>
      <c r="J19" s="90"/>
      <c r="K19" s="90"/>
      <c r="L19" s="90"/>
      <c r="M19" s="90"/>
      <c r="N19" s="90"/>
      <c r="O19" s="90"/>
      <c r="P19" s="90"/>
      <c r="Q19" s="90"/>
      <c r="R19" s="90"/>
      <c r="S19" s="90"/>
      <c r="T19" s="90"/>
      <c r="U19" s="90"/>
      <c r="V19" s="90"/>
      <c r="W19" s="90"/>
      <c r="X19" s="90"/>
      <c r="Y19" s="90"/>
      <c r="Z19" s="90"/>
      <c r="AA19" s="90"/>
    </row>
    <row r="20" spans="1:27" ht="16.5">
      <c r="A20" s="93" t="s">
        <v>528</v>
      </c>
      <c r="B20" s="93" t="s">
        <v>551</v>
      </c>
      <c r="E20" s="90"/>
      <c r="F20" s="90"/>
      <c r="G20" s="90"/>
      <c r="H20" s="90"/>
      <c r="I20" s="90"/>
      <c r="J20" s="90"/>
      <c r="K20" s="90"/>
      <c r="L20" s="90"/>
      <c r="M20" s="90"/>
      <c r="N20" s="90"/>
      <c r="O20" s="90"/>
      <c r="P20" s="90"/>
      <c r="Q20" s="90"/>
      <c r="R20" s="90"/>
      <c r="S20" s="90"/>
      <c r="T20" s="90"/>
      <c r="U20" s="90"/>
      <c r="V20" s="90"/>
      <c r="W20" s="90"/>
      <c r="X20" s="90"/>
      <c r="Y20" s="90"/>
      <c r="Z20" s="90"/>
      <c r="AA20" s="90"/>
    </row>
    <row r="21" spans="1:27" ht="16.5">
      <c r="A21" s="93" t="s">
        <v>529</v>
      </c>
      <c r="B21" s="93" t="s">
        <v>552</v>
      </c>
      <c r="E21" s="90"/>
      <c r="F21" s="90"/>
      <c r="G21" s="90"/>
      <c r="H21" s="90"/>
      <c r="I21" s="90"/>
      <c r="J21" s="90"/>
      <c r="K21" s="90"/>
      <c r="L21" s="90"/>
      <c r="M21" s="90"/>
      <c r="N21" s="90"/>
      <c r="O21" s="90"/>
      <c r="P21" s="90"/>
      <c r="Q21" s="90"/>
      <c r="R21" s="90"/>
      <c r="S21" s="90"/>
      <c r="T21" s="90"/>
      <c r="U21" s="90"/>
      <c r="V21" s="90"/>
      <c r="W21" s="90"/>
      <c r="X21" s="90"/>
      <c r="Y21" s="90"/>
      <c r="Z21" s="90"/>
      <c r="AA21" s="90"/>
    </row>
    <row r="22" spans="1:27" ht="16.5">
      <c r="A22" s="93" t="s">
        <v>530</v>
      </c>
      <c r="B22" s="93" t="s">
        <v>553</v>
      </c>
      <c r="E22" s="90"/>
      <c r="F22" s="90"/>
      <c r="G22" s="90"/>
      <c r="H22" s="90"/>
      <c r="I22" s="90"/>
      <c r="J22" s="90"/>
      <c r="K22" s="90"/>
      <c r="L22" s="90"/>
      <c r="M22" s="90"/>
      <c r="N22" s="90"/>
      <c r="O22" s="90"/>
      <c r="P22" s="90"/>
      <c r="Q22" s="90"/>
      <c r="R22" s="90"/>
      <c r="S22" s="90"/>
      <c r="T22" s="90"/>
      <c r="U22" s="90"/>
      <c r="V22" s="90"/>
      <c r="W22" s="90"/>
      <c r="X22" s="90"/>
      <c r="Y22" s="90"/>
      <c r="Z22" s="90"/>
      <c r="AA22" s="90"/>
    </row>
    <row r="23" spans="1:27" ht="16.5">
      <c r="A23" s="93" t="s">
        <v>531</v>
      </c>
      <c r="B23" s="93" t="s">
        <v>554</v>
      </c>
      <c r="E23" s="90"/>
      <c r="F23" s="90"/>
      <c r="G23" s="90"/>
      <c r="H23" s="90"/>
      <c r="I23" s="90"/>
      <c r="J23" s="90"/>
      <c r="K23" s="90"/>
      <c r="L23" s="90"/>
      <c r="M23" s="90"/>
      <c r="N23" s="90"/>
      <c r="O23" s="90"/>
      <c r="P23" s="90"/>
      <c r="Q23" s="90"/>
      <c r="R23" s="90"/>
      <c r="S23" s="90"/>
      <c r="T23" s="90"/>
      <c r="U23" s="90"/>
      <c r="V23" s="90"/>
      <c r="W23" s="90"/>
      <c r="X23" s="90"/>
      <c r="Y23" s="90"/>
      <c r="Z23" s="90"/>
      <c r="AA23" s="90"/>
    </row>
    <row r="24" spans="1:27" ht="12" customHeight="1">
      <c r="E24" s="90"/>
      <c r="F24" s="90"/>
      <c r="G24" s="90"/>
      <c r="H24" s="90"/>
      <c r="I24" s="90"/>
      <c r="J24" s="90"/>
      <c r="K24" s="90"/>
      <c r="L24" s="90"/>
      <c r="M24" s="90"/>
      <c r="N24" s="90"/>
      <c r="O24" s="90"/>
      <c r="P24" s="90"/>
      <c r="Q24" s="90"/>
      <c r="R24" s="90"/>
      <c r="S24" s="90"/>
      <c r="T24" s="90"/>
      <c r="U24" s="90"/>
      <c r="V24" s="90"/>
      <c r="W24" s="90"/>
      <c r="X24" s="90"/>
      <c r="Y24" s="90"/>
      <c r="Z24" s="90"/>
      <c r="AA24" s="90"/>
    </row>
    <row r="25" spans="1:27" ht="12" customHeight="1">
      <c r="E25" s="90"/>
      <c r="F25" s="90"/>
      <c r="G25" s="90"/>
      <c r="H25" s="90"/>
      <c r="I25" s="90"/>
      <c r="J25" s="90"/>
      <c r="K25" s="90"/>
      <c r="L25" s="90"/>
      <c r="M25" s="90"/>
      <c r="N25" s="90"/>
      <c r="O25" s="90"/>
      <c r="P25" s="90"/>
      <c r="Q25" s="90"/>
      <c r="R25" s="90"/>
      <c r="S25" s="90"/>
      <c r="T25" s="90"/>
      <c r="U25" s="90"/>
      <c r="V25" s="90"/>
      <c r="W25" s="90"/>
      <c r="X25" s="90"/>
      <c r="Y25" s="90"/>
      <c r="Z25" s="90"/>
      <c r="AA25" s="90"/>
    </row>
    <row r="26" spans="1:27" ht="12" customHeight="1">
      <c r="E26" s="90"/>
      <c r="F26" s="90"/>
      <c r="G26" s="90"/>
      <c r="H26" s="90"/>
      <c r="I26" s="90"/>
      <c r="J26" s="90"/>
      <c r="K26" s="90"/>
      <c r="L26" s="90"/>
      <c r="M26" s="90"/>
      <c r="N26" s="90"/>
      <c r="O26" s="90"/>
      <c r="P26" s="90"/>
      <c r="Q26" s="90"/>
      <c r="R26" s="90"/>
      <c r="S26" s="90"/>
      <c r="T26" s="90"/>
      <c r="U26" s="90"/>
      <c r="V26" s="90"/>
      <c r="W26" s="90"/>
      <c r="X26" s="90"/>
      <c r="Y26" s="90"/>
      <c r="Z26" s="90"/>
      <c r="AA26" s="90"/>
    </row>
    <row r="27" spans="1:27" ht="12" customHeight="1">
      <c r="C27" s="90"/>
      <c r="D27" s="90"/>
      <c r="E27" s="90"/>
      <c r="F27" s="90"/>
      <c r="G27" s="90"/>
      <c r="H27" s="90"/>
      <c r="I27" s="90"/>
      <c r="J27" s="90"/>
      <c r="K27" s="90"/>
      <c r="L27" s="90"/>
      <c r="M27" s="90"/>
      <c r="N27" s="90"/>
      <c r="O27" s="90"/>
      <c r="P27" s="90"/>
      <c r="Q27" s="90"/>
      <c r="R27" s="90"/>
      <c r="S27" s="90"/>
      <c r="T27" s="90"/>
      <c r="U27" s="90"/>
      <c r="V27" s="90"/>
      <c r="W27" s="90"/>
      <c r="X27" s="90"/>
      <c r="Y27" s="90"/>
      <c r="Z27" s="90"/>
      <c r="AA27" s="90"/>
    </row>
    <row r="28" spans="1:27" ht="12" customHeight="1">
      <c r="C28" s="90"/>
      <c r="D28" s="90"/>
      <c r="E28" s="90"/>
      <c r="F28" s="90"/>
      <c r="G28" s="90"/>
      <c r="H28" s="90"/>
      <c r="I28" s="90"/>
      <c r="J28" s="90"/>
      <c r="K28" s="90"/>
      <c r="L28" s="90"/>
      <c r="M28" s="90"/>
      <c r="N28" s="90"/>
      <c r="O28" s="90"/>
      <c r="P28" s="90"/>
      <c r="Q28" s="90"/>
      <c r="R28" s="90"/>
      <c r="S28" s="90"/>
      <c r="T28" s="90"/>
      <c r="U28" s="90"/>
      <c r="V28" s="90"/>
      <c r="W28" s="90"/>
      <c r="X28" s="90"/>
      <c r="Y28" s="90"/>
      <c r="Z28" s="90"/>
      <c r="AA28" s="90"/>
    </row>
    <row r="29" spans="1:27" ht="12" customHeight="1">
      <c r="C29" s="90"/>
      <c r="D29" s="90"/>
      <c r="E29" s="90"/>
      <c r="F29" s="90"/>
      <c r="G29" s="90"/>
      <c r="H29" s="90"/>
      <c r="I29" s="90"/>
      <c r="J29" s="90"/>
      <c r="K29" s="90"/>
      <c r="L29" s="90"/>
      <c r="M29" s="90"/>
      <c r="N29" s="90"/>
      <c r="O29" s="90"/>
      <c r="P29" s="90"/>
      <c r="Q29" s="90"/>
      <c r="R29" s="90"/>
      <c r="S29" s="90"/>
      <c r="T29" s="90"/>
      <c r="U29" s="90"/>
      <c r="V29" s="90"/>
      <c r="W29" s="90"/>
      <c r="X29" s="90"/>
      <c r="Y29" s="90"/>
      <c r="Z29" s="90"/>
      <c r="AA29" s="90"/>
    </row>
    <row r="30" spans="1:27" ht="12" customHeight="1">
      <c r="C30" s="90"/>
      <c r="D30" s="90"/>
      <c r="E30" s="90"/>
      <c r="F30" s="90"/>
      <c r="G30" s="90"/>
      <c r="H30" s="90"/>
      <c r="I30" s="90"/>
      <c r="J30" s="90"/>
      <c r="K30" s="90"/>
      <c r="L30" s="90"/>
      <c r="M30" s="90"/>
      <c r="N30" s="90"/>
      <c r="O30" s="90"/>
      <c r="P30" s="90"/>
      <c r="Q30" s="90"/>
      <c r="R30" s="90"/>
      <c r="S30" s="90"/>
      <c r="T30" s="90"/>
      <c r="U30" s="90"/>
      <c r="V30" s="90"/>
      <c r="W30" s="90"/>
      <c r="X30" s="90"/>
      <c r="Y30" s="90"/>
      <c r="Z30" s="90"/>
      <c r="AA30" s="90"/>
    </row>
    <row r="31" spans="1:27" ht="12" customHeight="1">
      <c r="C31" s="90"/>
      <c r="D31" s="90"/>
      <c r="E31" s="90"/>
      <c r="F31" s="90"/>
      <c r="G31" s="90"/>
      <c r="H31" s="90"/>
      <c r="I31" s="90"/>
      <c r="J31" s="90"/>
      <c r="K31" s="90"/>
      <c r="L31" s="90"/>
      <c r="M31" s="90"/>
      <c r="N31" s="90"/>
      <c r="O31" s="90"/>
      <c r="P31" s="90"/>
      <c r="Q31" s="90"/>
      <c r="R31" s="90"/>
      <c r="S31" s="90"/>
      <c r="T31" s="90"/>
      <c r="U31" s="90"/>
      <c r="V31" s="90"/>
      <c r="W31" s="90"/>
      <c r="X31" s="90"/>
      <c r="Y31" s="90"/>
      <c r="Z31" s="90"/>
      <c r="AA31" s="90"/>
    </row>
    <row r="32" spans="1:27" ht="12" customHeight="1">
      <c r="C32" s="90"/>
      <c r="D32" s="90"/>
      <c r="E32" s="90"/>
      <c r="F32" s="90"/>
      <c r="G32" s="90"/>
      <c r="H32" s="90"/>
      <c r="I32" s="90"/>
      <c r="J32" s="90"/>
      <c r="K32" s="90"/>
      <c r="L32" s="90"/>
      <c r="M32" s="90"/>
      <c r="N32" s="90"/>
      <c r="O32" s="90"/>
      <c r="P32" s="90"/>
      <c r="Q32" s="90"/>
      <c r="R32" s="90"/>
      <c r="S32" s="90"/>
      <c r="T32" s="90"/>
      <c r="U32" s="90"/>
      <c r="V32" s="90"/>
      <c r="W32" s="90"/>
      <c r="X32" s="90"/>
      <c r="Y32" s="90"/>
      <c r="Z32" s="90"/>
      <c r="AA32" s="90"/>
    </row>
    <row r="33" spans="3:27" ht="12" customHeight="1">
      <c r="C33" s="90"/>
      <c r="D33" s="90"/>
      <c r="E33" s="90"/>
      <c r="F33" s="90"/>
      <c r="G33" s="90"/>
      <c r="H33" s="90"/>
      <c r="I33" s="90"/>
      <c r="J33" s="90"/>
      <c r="K33" s="90"/>
      <c r="L33" s="90"/>
      <c r="M33" s="90"/>
      <c r="N33" s="90"/>
      <c r="O33" s="90"/>
      <c r="P33" s="90"/>
      <c r="Q33" s="90"/>
      <c r="R33" s="90"/>
      <c r="S33" s="90"/>
      <c r="T33" s="90"/>
      <c r="U33" s="90"/>
      <c r="V33" s="90"/>
      <c r="W33" s="90"/>
      <c r="X33" s="90"/>
      <c r="Y33" s="90"/>
      <c r="Z33" s="90"/>
      <c r="AA33" s="90"/>
    </row>
    <row r="34" spans="3:27" ht="12" customHeight="1">
      <c r="C34" s="90"/>
      <c r="D34" s="90"/>
      <c r="E34" s="90"/>
      <c r="F34" s="90"/>
      <c r="G34" s="90"/>
      <c r="H34" s="90"/>
      <c r="I34" s="90"/>
      <c r="J34" s="90"/>
      <c r="K34" s="90"/>
      <c r="L34" s="90"/>
      <c r="M34" s="90"/>
      <c r="N34" s="90"/>
      <c r="O34" s="90"/>
      <c r="P34" s="90"/>
      <c r="Q34" s="90"/>
      <c r="R34" s="90"/>
      <c r="S34" s="90"/>
      <c r="T34" s="90"/>
      <c r="U34" s="90"/>
      <c r="V34" s="90"/>
      <c r="W34" s="90"/>
      <c r="X34" s="90"/>
      <c r="Y34" s="90"/>
      <c r="Z34" s="90"/>
      <c r="AA34" s="90"/>
    </row>
    <row r="35" spans="3:27" ht="12" customHeight="1">
      <c r="C35" s="90"/>
      <c r="D35" s="90"/>
      <c r="E35" s="90"/>
      <c r="F35" s="90"/>
      <c r="G35" s="90"/>
      <c r="H35" s="90"/>
      <c r="I35" s="90"/>
      <c r="J35" s="90"/>
      <c r="K35" s="90"/>
      <c r="L35" s="90"/>
      <c r="M35" s="90"/>
      <c r="N35" s="90"/>
      <c r="O35" s="90"/>
      <c r="P35" s="90"/>
      <c r="Q35" s="90"/>
      <c r="R35" s="90"/>
      <c r="S35" s="90"/>
      <c r="T35" s="90"/>
      <c r="U35" s="90"/>
      <c r="V35" s="90"/>
      <c r="W35" s="90"/>
      <c r="X35" s="90"/>
      <c r="Y35" s="90"/>
      <c r="Z35" s="90"/>
      <c r="AA35" s="90"/>
    </row>
    <row r="36" spans="3:27" ht="12" customHeight="1">
      <c r="C36" s="90"/>
      <c r="D36" s="90"/>
      <c r="E36" s="90"/>
      <c r="F36" s="90"/>
      <c r="G36" s="90"/>
      <c r="H36" s="90"/>
      <c r="I36" s="90"/>
      <c r="J36" s="90"/>
      <c r="K36" s="90"/>
      <c r="L36" s="90"/>
      <c r="M36" s="90"/>
      <c r="N36" s="90"/>
      <c r="O36" s="90"/>
      <c r="P36" s="90"/>
      <c r="Q36" s="90"/>
      <c r="R36" s="90"/>
      <c r="S36" s="90"/>
      <c r="T36" s="90"/>
      <c r="U36" s="90"/>
      <c r="V36" s="90"/>
      <c r="W36" s="90"/>
      <c r="X36" s="90"/>
      <c r="Y36" s="90"/>
      <c r="Z36" s="90"/>
      <c r="AA36" s="90"/>
    </row>
    <row r="37" spans="3:27" ht="12" customHeight="1">
      <c r="C37" s="90"/>
      <c r="D37" s="90"/>
      <c r="E37" s="90"/>
      <c r="F37" s="90"/>
      <c r="G37" s="90"/>
      <c r="H37" s="90"/>
      <c r="I37" s="90"/>
      <c r="J37" s="90"/>
      <c r="K37" s="90"/>
      <c r="L37" s="90"/>
      <c r="M37" s="90"/>
      <c r="N37" s="90"/>
      <c r="O37" s="90"/>
      <c r="P37" s="90"/>
      <c r="Q37" s="90"/>
      <c r="R37" s="90"/>
      <c r="S37" s="90"/>
      <c r="T37" s="90"/>
      <c r="U37" s="90"/>
      <c r="V37" s="90"/>
      <c r="W37" s="90"/>
      <c r="X37" s="90"/>
      <c r="Y37" s="90"/>
      <c r="Z37" s="90"/>
      <c r="AA37" s="90"/>
    </row>
    <row r="38" spans="3:27" ht="12" customHeight="1">
      <c r="C38" s="90"/>
      <c r="D38" s="90"/>
      <c r="E38" s="90"/>
      <c r="F38" s="90"/>
      <c r="G38" s="90"/>
      <c r="H38" s="90"/>
      <c r="I38" s="90"/>
      <c r="J38" s="90"/>
      <c r="K38" s="90"/>
      <c r="L38" s="90"/>
      <c r="M38" s="90"/>
      <c r="N38" s="90"/>
      <c r="O38" s="90"/>
      <c r="P38" s="90"/>
      <c r="Q38" s="90"/>
      <c r="R38" s="90"/>
      <c r="S38" s="90"/>
      <c r="T38" s="90"/>
      <c r="U38" s="90"/>
      <c r="V38" s="90"/>
      <c r="W38" s="90"/>
      <c r="X38" s="90"/>
      <c r="Y38" s="90"/>
      <c r="Z38" s="90"/>
      <c r="AA38" s="90"/>
    </row>
    <row r="39" spans="3:27" ht="12" customHeight="1">
      <c r="C39" s="90"/>
      <c r="D39" s="90"/>
      <c r="E39" s="90"/>
      <c r="F39" s="90"/>
      <c r="G39" s="90"/>
      <c r="H39" s="90"/>
      <c r="I39" s="90"/>
      <c r="J39" s="90"/>
      <c r="K39" s="90"/>
      <c r="L39" s="90"/>
      <c r="M39" s="90"/>
      <c r="N39" s="90"/>
      <c r="O39" s="90"/>
      <c r="P39" s="90"/>
      <c r="Q39" s="90"/>
      <c r="R39" s="90"/>
      <c r="S39" s="90"/>
      <c r="T39" s="90"/>
      <c r="U39" s="90"/>
      <c r="V39" s="90"/>
      <c r="W39" s="90"/>
      <c r="X39" s="90"/>
      <c r="Y39" s="90"/>
      <c r="Z39" s="90"/>
      <c r="AA39" s="90"/>
    </row>
    <row r="40" spans="3:27" ht="12" customHeight="1">
      <c r="C40" s="90"/>
      <c r="D40" s="90"/>
      <c r="E40" s="90"/>
      <c r="F40" s="90"/>
      <c r="G40" s="90"/>
      <c r="H40" s="90"/>
      <c r="I40" s="90"/>
      <c r="J40" s="90"/>
      <c r="K40" s="90"/>
      <c r="L40" s="90"/>
      <c r="M40" s="90"/>
      <c r="N40" s="90"/>
      <c r="O40" s="90"/>
      <c r="P40" s="90"/>
      <c r="Q40" s="90"/>
      <c r="R40" s="90"/>
      <c r="S40" s="90"/>
      <c r="T40" s="90"/>
      <c r="U40" s="90"/>
      <c r="V40" s="90"/>
      <c r="W40" s="90"/>
      <c r="X40" s="90"/>
      <c r="Y40" s="90"/>
      <c r="Z40" s="90"/>
      <c r="AA40" s="90"/>
    </row>
    <row r="41" spans="3:27" ht="12" customHeight="1">
      <c r="C41" s="90"/>
      <c r="D41" s="90"/>
      <c r="E41" s="90"/>
      <c r="F41" s="90"/>
      <c r="G41" s="90"/>
      <c r="H41" s="90"/>
      <c r="I41" s="90"/>
      <c r="J41" s="90"/>
      <c r="K41" s="90"/>
      <c r="L41" s="90"/>
      <c r="M41" s="90"/>
      <c r="N41" s="90"/>
      <c r="O41" s="90"/>
      <c r="P41" s="90"/>
      <c r="Q41" s="90"/>
      <c r="R41" s="90"/>
      <c r="S41" s="90"/>
      <c r="T41" s="90"/>
      <c r="U41" s="90"/>
      <c r="V41" s="90"/>
      <c r="W41" s="90"/>
      <c r="X41" s="90"/>
      <c r="Y41" s="90"/>
      <c r="Z41" s="90"/>
      <c r="AA41" s="90"/>
    </row>
    <row r="42" spans="3:27" ht="12" customHeight="1">
      <c r="C42" s="90"/>
      <c r="D42" s="90"/>
      <c r="E42" s="90"/>
      <c r="F42" s="90"/>
      <c r="G42" s="90"/>
      <c r="H42" s="90"/>
      <c r="I42" s="90"/>
      <c r="J42" s="90"/>
      <c r="K42" s="90"/>
      <c r="L42" s="90"/>
      <c r="M42" s="90"/>
      <c r="N42" s="90"/>
      <c r="O42" s="90"/>
      <c r="P42" s="90"/>
      <c r="Q42" s="90"/>
      <c r="R42" s="90"/>
      <c r="S42" s="90"/>
      <c r="T42" s="90"/>
      <c r="U42" s="90"/>
      <c r="V42" s="90"/>
      <c r="W42" s="90"/>
      <c r="X42" s="90"/>
      <c r="Y42" s="90"/>
      <c r="Z42" s="90"/>
      <c r="AA42" s="90"/>
    </row>
    <row r="43" spans="3:27" ht="12" customHeight="1">
      <c r="C43" s="90"/>
      <c r="D43" s="90"/>
      <c r="E43" s="90"/>
      <c r="F43" s="90"/>
      <c r="G43" s="90"/>
      <c r="H43" s="90"/>
      <c r="I43" s="90"/>
      <c r="J43" s="90"/>
      <c r="K43" s="90"/>
      <c r="L43" s="90"/>
      <c r="M43" s="90"/>
      <c r="N43" s="90"/>
      <c r="O43" s="90"/>
      <c r="P43" s="90"/>
      <c r="Q43" s="90"/>
      <c r="R43" s="90"/>
      <c r="S43" s="90"/>
      <c r="T43" s="90"/>
      <c r="U43" s="90"/>
      <c r="V43" s="90"/>
      <c r="W43" s="90"/>
      <c r="X43" s="90"/>
      <c r="Y43" s="90"/>
      <c r="Z43" s="90"/>
      <c r="AA43" s="90"/>
    </row>
    <row r="44" spans="3:27" ht="12" customHeight="1">
      <c r="C44" s="90"/>
      <c r="D44" s="90"/>
      <c r="E44" s="90"/>
      <c r="F44" s="90"/>
      <c r="G44" s="90"/>
      <c r="H44" s="90"/>
      <c r="I44" s="90"/>
      <c r="J44" s="90"/>
      <c r="K44" s="90"/>
      <c r="L44" s="90"/>
      <c r="M44" s="90"/>
      <c r="N44" s="90"/>
      <c r="O44" s="90"/>
      <c r="P44" s="90"/>
      <c r="Q44" s="90"/>
      <c r="R44" s="90"/>
      <c r="S44" s="90"/>
      <c r="T44" s="90"/>
      <c r="U44" s="90"/>
      <c r="V44" s="90"/>
      <c r="W44" s="90"/>
      <c r="X44" s="90"/>
      <c r="Y44" s="90"/>
      <c r="Z44" s="90"/>
      <c r="AA44" s="90"/>
    </row>
    <row r="45" spans="3:27" ht="12" customHeight="1">
      <c r="C45" s="90"/>
      <c r="D45" s="90"/>
      <c r="E45" s="90"/>
      <c r="F45" s="90"/>
      <c r="G45" s="90"/>
      <c r="H45" s="90"/>
      <c r="I45" s="90"/>
      <c r="J45" s="90"/>
      <c r="K45" s="90"/>
      <c r="L45" s="90"/>
      <c r="M45" s="90"/>
      <c r="N45" s="90"/>
      <c r="O45" s="90"/>
      <c r="P45" s="90"/>
      <c r="Q45" s="90"/>
      <c r="R45" s="90"/>
      <c r="S45" s="90"/>
      <c r="T45" s="90"/>
      <c r="U45" s="90"/>
      <c r="V45" s="90"/>
      <c r="W45" s="90"/>
      <c r="X45" s="90"/>
      <c r="Y45" s="90"/>
      <c r="Z45" s="90"/>
      <c r="AA45" s="90"/>
    </row>
    <row r="46" spans="3:27" ht="12" customHeight="1">
      <c r="C46" s="90"/>
      <c r="D46" s="90"/>
      <c r="E46" s="90"/>
      <c r="F46" s="90"/>
      <c r="G46" s="90"/>
      <c r="H46" s="90"/>
      <c r="I46" s="90"/>
      <c r="J46" s="90"/>
      <c r="K46" s="90"/>
      <c r="L46" s="90"/>
      <c r="M46" s="90"/>
      <c r="N46" s="90"/>
      <c r="O46" s="90"/>
      <c r="P46" s="90"/>
      <c r="Q46" s="90"/>
      <c r="R46" s="90"/>
      <c r="S46" s="90"/>
      <c r="T46" s="90"/>
      <c r="U46" s="90"/>
      <c r="V46" s="90"/>
      <c r="W46" s="90"/>
      <c r="X46" s="90"/>
      <c r="Y46" s="90"/>
      <c r="Z46" s="90"/>
      <c r="AA46" s="90"/>
    </row>
    <row r="47" spans="3:27" ht="12" customHeight="1">
      <c r="C47" s="90"/>
      <c r="D47" s="90"/>
      <c r="E47" s="90"/>
      <c r="F47" s="90"/>
      <c r="G47" s="90"/>
      <c r="H47" s="90"/>
      <c r="I47" s="90"/>
      <c r="J47" s="90"/>
      <c r="K47" s="90"/>
      <c r="L47" s="90"/>
      <c r="M47" s="90"/>
      <c r="N47" s="90"/>
      <c r="O47" s="90"/>
      <c r="P47" s="90"/>
      <c r="Q47" s="90"/>
      <c r="R47" s="90"/>
      <c r="S47" s="90"/>
      <c r="T47" s="90"/>
      <c r="U47" s="90"/>
      <c r="V47" s="90"/>
      <c r="W47" s="90"/>
      <c r="X47" s="90"/>
      <c r="Y47" s="90"/>
      <c r="Z47" s="90"/>
      <c r="AA47" s="90"/>
    </row>
    <row r="48" spans="3:27" ht="12" customHeight="1">
      <c r="C48" s="90"/>
      <c r="D48" s="90"/>
      <c r="E48" s="90"/>
      <c r="F48" s="90"/>
      <c r="G48" s="90"/>
      <c r="H48" s="90"/>
      <c r="I48" s="90"/>
      <c r="J48" s="90"/>
      <c r="K48" s="90"/>
      <c r="L48" s="90"/>
      <c r="M48" s="90"/>
      <c r="N48" s="90"/>
      <c r="O48" s="90"/>
      <c r="P48" s="90"/>
      <c r="Q48" s="90"/>
      <c r="R48" s="90"/>
      <c r="S48" s="90"/>
      <c r="T48" s="90"/>
      <c r="U48" s="90"/>
      <c r="V48" s="90"/>
      <c r="W48" s="90"/>
      <c r="X48" s="90"/>
      <c r="Y48" s="90"/>
      <c r="Z48" s="90"/>
      <c r="AA48" s="90"/>
    </row>
    <row r="49" spans="3:27" ht="12" customHeight="1">
      <c r="C49" s="90"/>
      <c r="D49" s="90"/>
      <c r="E49" s="90"/>
      <c r="F49" s="90"/>
      <c r="G49" s="90"/>
      <c r="H49" s="90"/>
      <c r="I49" s="90"/>
      <c r="J49" s="90"/>
      <c r="K49" s="90"/>
      <c r="L49" s="90"/>
      <c r="M49" s="90"/>
      <c r="N49" s="90"/>
      <c r="O49" s="90"/>
      <c r="P49" s="90"/>
      <c r="Q49" s="90"/>
      <c r="R49" s="90"/>
      <c r="S49" s="90"/>
      <c r="T49" s="90"/>
      <c r="U49" s="90"/>
      <c r="V49" s="90"/>
      <c r="W49" s="90"/>
      <c r="X49" s="90"/>
      <c r="Y49" s="90"/>
      <c r="Z49" s="90"/>
      <c r="AA49" s="90"/>
    </row>
    <row r="50" spans="3:27" ht="12" customHeight="1">
      <c r="C50" s="90"/>
      <c r="D50" s="90"/>
      <c r="E50" s="90"/>
      <c r="F50" s="90"/>
      <c r="G50" s="90"/>
      <c r="H50" s="90"/>
      <c r="I50" s="90"/>
      <c r="J50" s="90"/>
      <c r="K50" s="90"/>
      <c r="L50" s="90"/>
      <c r="M50" s="90"/>
      <c r="N50" s="90"/>
      <c r="O50" s="90"/>
      <c r="P50" s="90"/>
      <c r="Q50" s="90"/>
      <c r="R50" s="90"/>
      <c r="S50" s="90"/>
      <c r="T50" s="90"/>
      <c r="U50" s="90"/>
      <c r="V50" s="90"/>
      <c r="W50" s="90"/>
      <c r="X50" s="90"/>
      <c r="Y50" s="90"/>
      <c r="Z50" s="90"/>
      <c r="AA50" s="90"/>
    </row>
    <row r="51" spans="3:27" ht="12" customHeight="1">
      <c r="C51" s="90"/>
      <c r="D51" s="90"/>
      <c r="E51" s="90"/>
      <c r="F51" s="90"/>
      <c r="G51" s="90"/>
      <c r="H51" s="90"/>
      <c r="I51" s="90"/>
      <c r="J51" s="90"/>
      <c r="K51" s="90"/>
      <c r="L51" s="90"/>
      <c r="M51" s="90"/>
      <c r="N51" s="90"/>
      <c r="O51" s="90"/>
      <c r="P51" s="90"/>
      <c r="Q51" s="90"/>
      <c r="R51" s="90"/>
      <c r="S51" s="90"/>
      <c r="T51" s="90"/>
      <c r="U51" s="90"/>
      <c r="V51" s="90"/>
      <c r="W51" s="90"/>
      <c r="X51" s="90"/>
      <c r="Y51" s="90"/>
      <c r="Z51" s="90"/>
      <c r="AA51" s="90"/>
    </row>
    <row r="52" spans="3:27" ht="12" customHeight="1">
      <c r="C52" s="90"/>
      <c r="D52" s="90"/>
      <c r="E52" s="90"/>
      <c r="F52" s="90"/>
      <c r="G52" s="90"/>
      <c r="H52" s="90"/>
      <c r="I52" s="90"/>
      <c r="J52" s="90"/>
      <c r="K52" s="90"/>
      <c r="L52" s="90"/>
      <c r="M52" s="90"/>
      <c r="N52" s="90"/>
      <c r="O52" s="90"/>
      <c r="P52" s="90"/>
      <c r="Q52" s="90"/>
      <c r="R52" s="90"/>
      <c r="S52" s="90"/>
      <c r="T52" s="90"/>
      <c r="U52" s="90"/>
      <c r="V52" s="90"/>
      <c r="W52" s="90"/>
      <c r="X52" s="90"/>
      <c r="Y52" s="90"/>
      <c r="Z52" s="90"/>
      <c r="AA52" s="90"/>
    </row>
    <row r="53" spans="3:27" ht="12" customHeight="1">
      <c r="C53" s="90"/>
      <c r="D53" s="90"/>
      <c r="E53" s="90"/>
      <c r="F53" s="90"/>
      <c r="G53" s="90"/>
      <c r="H53" s="90"/>
      <c r="I53" s="90"/>
      <c r="J53" s="90"/>
      <c r="K53" s="90"/>
      <c r="L53" s="90"/>
      <c r="M53" s="90"/>
      <c r="N53" s="90"/>
      <c r="O53" s="90"/>
      <c r="P53" s="90"/>
      <c r="Q53" s="90"/>
      <c r="R53" s="90"/>
      <c r="S53" s="90"/>
      <c r="T53" s="90"/>
      <c r="U53" s="90"/>
      <c r="V53" s="90"/>
      <c r="W53" s="90"/>
      <c r="X53" s="90"/>
      <c r="Y53" s="90"/>
      <c r="Z53" s="90"/>
      <c r="AA53" s="90"/>
    </row>
    <row r="54" spans="3:27" ht="12" customHeight="1">
      <c r="C54" s="90"/>
      <c r="D54" s="90"/>
      <c r="E54" s="90"/>
      <c r="F54" s="90"/>
      <c r="G54" s="90"/>
      <c r="H54" s="90"/>
      <c r="I54" s="90"/>
      <c r="J54" s="90"/>
      <c r="K54" s="90"/>
      <c r="L54" s="90"/>
      <c r="M54" s="90"/>
      <c r="N54" s="90"/>
      <c r="O54" s="90"/>
      <c r="P54" s="90"/>
      <c r="Q54" s="90"/>
      <c r="R54" s="90"/>
      <c r="S54" s="90"/>
      <c r="T54" s="90"/>
      <c r="U54" s="90"/>
      <c r="V54" s="90"/>
      <c r="W54" s="90"/>
      <c r="X54" s="90"/>
      <c r="Y54" s="90"/>
      <c r="Z54" s="90"/>
      <c r="AA54" s="90"/>
    </row>
    <row r="55" spans="3:27" ht="12" customHeight="1">
      <c r="C55" s="90"/>
      <c r="D55" s="90"/>
      <c r="E55" s="90"/>
      <c r="F55" s="90"/>
      <c r="G55" s="90"/>
      <c r="H55" s="90"/>
      <c r="I55" s="90"/>
      <c r="J55" s="90"/>
      <c r="K55" s="90"/>
      <c r="L55" s="90"/>
      <c r="M55" s="90"/>
      <c r="N55" s="90"/>
      <c r="O55" s="90"/>
      <c r="P55" s="90"/>
      <c r="Q55" s="90"/>
      <c r="R55" s="90"/>
      <c r="S55" s="90"/>
      <c r="T55" s="90"/>
      <c r="U55" s="90"/>
      <c r="V55" s="90"/>
      <c r="W55" s="90"/>
      <c r="X55" s="90"/>
      <c r="Y55" s="90"/>
      <c r="Z55" s="90"/>
      <c r="AA55" s="90"/>
    </row>
    <row r="56" spans="3:27" ht="12" customHeight="1">
      <c r="C56" s="90"/>
      <c r="D56" s="90"/>
      <c r="E56" s="90"/>
      <c r="F56" s="90"/>
      <c r="G56" s="90"/>
      <c r="H56" s="90"/>
      <c r="I56" s="90"/>
      <c r="J56" s="90"/>
      <c r="K56" s="90"/>
      <c r="L56" s="90"/>
      <c r="M56" s="90"/>
      <c r="N56" s="90"/>
      <c r="O56" s="90"/>
      <c r="P56" s="90"/>
      <c r="Q56" s="90"/>
      <c r="R56" s="90"/>
      <c r="S56" s="90"/>
      <c r="T56" s="90"/>
      <c r="U56" s="90"/>
      <c r="V56" s="90"/>
      <c r="W56" s="90"/>
      <c r="X56" s="90"/>
      <c r="Y56" s="90"/>
      <c r="Z56" s="90"/>
      <c r="AA56" s="90"/>
    </row>
    <row r="57" spans="3:27" ht="12" customHeight="1">
      <c r="C57" s="90"/>
      <c r="D57" s="90"/>
      <c r="E57" s="90"/>
      <c r="F57" s="90"/>
      <c r="G57" s="90"/>
      <c r="H57" s="90"/>
      <c r="I57" s="90"/>
      <c r="J57" s="90"/>
      <c r="K57" s="90"/>
      <c r="L57" s="90"/>
      <c r="M57" s="90"/>
      <c r="N57" s="90"/>
      <c r="O57" s="90"/>
      <c r="P57" s="90"/>
      <c r="Q57" s="90"/>
      <c r="R57" s="90"/>
      <c r="S57" s="90"/>
      <c r="T57" s="90"/>
      <c r="U57" s="90"/>
      <c r="V57" s="90"/>
      <c r="W57" s="90"/>
      <c r="X57" s="90"/>
      <c r="Y57" s="90"/>
      <c r="Z57" s="90"/>
      <c r="AA57" s="90"/>
    </row>
    <row r="58" spans="3:27" ht="12" customHeight="1">
      <c r="C58" s="90"/>
      <c r="D58" s="90"/>
      <c r="E58" s="90"/>
      <c r="F58" s="90"/>
      <c r="G58" s="90"/>
      <c r="H58" s="90"/>
      <c r="I58" s="90"/>
      <c r="J58" s="90"/>
      <c r="K58" s="90"/>
      <c r="L58" s="90"/>
      <c r="M58" s="90"/>
      <c r="N58" s="90"/>
      <c r="O58" s="90"/>
      <c r="P58" s="90"/>
      <c r="Q58" s="90"/>
      <c r="R58" s="90"/>
      <c r="S58" s="90"/>
      <c r="T58" s="90"/>
      <c r="U58" s="90"/>
      <c r="V58" s="90"/>
      <c r="W58" s="90"/>
      <c r="X58" s="90"/>
      <c r="Y58" s="90"/>
      <c r="Z58" s="90"/>
      <c r="AA58" s="90"/>
    </row>
    <row r="59" spans="3:27" ht="12" customHeight="1">
      <c r="C59" s="90"/>
      <c r="D59" s="90"/>
      <c r="E59" s="90"/>
      <c r="F59" s="90"/>
      <c r="G59" s="90"/>
      <c r="H59" s="90"/>
      <c r="I59" s="90"/>
      <c r="J59" s="90"/>
      <c r="K59" s="90"/>
      <c r="L59" s="90"/>
      <c r="M59" s="90"/>
      <c r="N59" s="90"/>
      <c r="O59" s="90"/>
      <c r="P59" s="90"/>
      <c r="Q59" s="90"/>
      <c r="R59" s="90"/>
      <c r="S59" s="90"/>
      <c r="T59" s="90"/>
      <c r="U59" s="90"/>
      <c r="V59" s="90"/>
      <c r="W59" s="90"/>
      <c r="X59" s="90"/>
      <c r="Y59" s="90"/>
      <c r="Z59" s="90"/>
      <c r="AA59" s="90"/>
    </row>
    <row r="60" spans="3:27" ht="12" customHeight="1">
      <c r="C60" s="90"/>
      <c r="D60" s="90"/>
      <c r="E60" s="90"/>
      <c r="F60" s="90"/>
      <c r="G60" s="90"/>
      <c r="H60" s="90"/>
      <c r="I60" s="90"/>
      <c r="J60" s="90"/>
      <c r="K60" s="90"/>
      <c r="L60" s="90"/>
      <c r="M60" s="90"/>
      <c r="N60" s="90"/>
      <c r="O60" s="90"/>
      <c r="P60" s="90"/>
      <c r="Q60" s="90"/>
      <c r="R60" s="90"/>
      <c r="S60" s="90"/>
      <c r="T60" s="90"/>
      <c r="U60" s="90"/>
      <c r="V60" s="90"/>
      <c r="W60" s="90"/>
      <c r="X60" s="90"/>
      <c r="Y60" s="90"/>
      <c r="Z60" s="90"/>
      <c r="AA60" s="90"/>
    </row>
    <row r="61" spans="3:27" ht="12" customHeight="1">
      <c r="C61" s="90"/>
      <c r="D61" s="90"/>
      <c r="E61" s="90"/>
      <c r="F61" s="90"/>
      <c r="G61" s="90"/>
      <c r="H61" s="90"/>
      <c r="I61" s="90"/>
      <c r="J61" s="90"/>
      <c r="K61" s="90"/>
      <c r="L61" s="90"/>
      <c r="M61" s="90"/>
      <c r="N61" s="90"/>
      <c r="O61" s="90"/>
      <c r="P61" s="90"/>
      <c r="Q61" s="90"/>
      <c r="R61" s="90"/>
      <c r="S61" s="90"/>
      <c r="T61" s="90"/>
      <c r="U61" s="90"/>
      <c r="V61" s="90"/>
      <c r="W61" s="90"/>
      <c r="X61" s="90"/>
      <c r="Y61" s="90"/>
      <c r="Z61" s="90"/>
      <c r="AA61" s="90"/>
    </row>
    <row r="62" spans="3:27" ht="12" customHeight="1">
      <c r="C62" s="90"/>
      <c r="D62" s="90"/>
      <c r="E62" s="90"/>
      <c r="F62" s="90"/>
      <c r="G62" s="90"/>
      <c r="H62" s="90"/>
      <c r="I62" s="90"/>
      <c r="J62" s="90"/>
      <c r="K62" s="90"/>
      <c r="L62" s="90"/>
      <c r="M62" s="90"/>
      <c r="N62" s="90"/>
      <c r="O62" s="90"/>
      <c r="P62" s="90"/>
      <c r="Q62" s="90"/>
      <c r="R62" s="90"/>
      <c r="S62" s="90"/>
      <c r="T62" s="90"/>
      <c r="U62" s="90"/>
      <c r="V62" s="90"/>
      <c r="W62" s="90"/>
      <c r="X62" s="90"/>
      <c r="Y62" s="90"/>
      <c r="Z62" s="90"/>
      <c r="AA62" s="90"/>
    </row>
    <row r="63" spans="3:27" ht="12" customHeight="1">
      <c r="C63" s="90"/>
      <c r="D63" s="90"/>
      <c r="E63" s="90"/>
      <c r="F63" s="90"/>
      <c r="G63" s="90"/>
      <c r="H63" s="90"/>
      <c r="I63" s="90"/>
      <c r="J63" s="90"/>
      <c r="K63" s="90"/>
      <c r="L63" s="90"/>
      <c r="M63" s="90"/>
      <c r="N63" s="90"/>
      <c r="O63" s="90"/>
      <c r="P63" s="90"/>
      <c r="Q63" s="90"/>
      <c r="R63" s="90"/>
      <c r="S63" s="90"/>
      <c r="T63" s="90"/>
      <c r="U63" s="90"/>
      <c r="V63" s="90"/>
      <c r="W63" s="90"/>
      <c r="X63" s="90"/>
      <c r="Y63" s="90"/>
      <c r="Z63" s="90"/>
      <c r="AA63" s="90"/>
    </row>
    <row r="64" spans="3:27" ht="12" customHeight="1">
      <c r="C64" s="90"/>
      <c r="D64" s="90"/>
      <c r="E64" s="90"/>
      <c r="F64" s="90"/>
      <c r="G64" s="90"/>
      <c r="H64" s="90"/>
      <c r="I64" s="90"/>
      <c r="J64" s="90"/>
      <c r="K64" s="90"/>
      <c r="L64" s="90"/>
      <c r="M64" s="90"/>
      <c r="N64" s="90"/>
      <c r="O64" s="90"/>
      <c r="P64" s="90"/>
      <c r="Q64" s="90"/>
      <c r="R64" s="90"/>
      <c r="S64" s="90"/>
      <c r="T64" s="90"/>
      <c r="U64" s="90"/>
      <c r="V64" s="90"/>
      <c r="W64" s="90"/>
      <c r="X64" s="90"/>
      <c r="Y64" s="90"/>
      <c r="Z64" s="90"/>
      <c r="AA64" s="90"/>
    </row>
    <row r="65" spans="3:27" ht="12" customHeight="1">
      <c r="C65" s="90"/>
      <c r="D65" s="90"/>
      <c r="E65" s="90"/>
      <c r="F65" s="90"/>
      <c r="G65" s="90"/>
      <c r="H65" s="90"/>
      <c r="I65" s="90"/>
      <c r="J65" s="90"/>
      <c r="K65" s="90"/>
      <c r="L65" s="90"/>
      <c r="M65" s="90"/>
      <c r="N65" s="90"/>
      <c r="O65" s="90"/>
      <c r="P65" s="90"/>
      <c r="Q65" s="90"/>
      <c r="R65" s="90"/>
      <c r="S65" s="90"/>
      <c r="T65" s="90"/>
      <c r="U65" s="90"/>
      <c r="V65" s="90"/>
      <c r="W65" s="90"/>
      <c r="X65" s="90"/>
      <c r="Y65" s="90"/>
      <c r="Z65" s="90"/>
      <c r="AA65" s="90"/>
    </row>
    <row r="66" spans="3:27" ht="12" customHeight="1">
      <c r="C66" s="90"/>
      <c r="D66" s="90"/>
      <c r="E66" s="90"/>
      <c r="F66" s="90"/>
      <c r="G66" s="90"/>
      <c r="H66" s="90"/>
      <c r="I66" s="90"/>
      <c r="J66" s="90"/>
      <c r="K66" s="90"/>
      <c r="L66" s="90"/>
      <c r="M66" s="90"/>
      <c r="N66" s="90"/>
      <c r="O66" s="90"/>
      <c r="P66" s="90"/>
      <c r="Q66" s="90"/>
      <c r="R66" s="90"/>
      <c r="S66" s="90"/>
      <c r="T66" s="90"/>
      <c r="U66" s="90"/>
      <c r="V66" s="90"/>
      <c r="W66" s="90"/>
      <c r="X66" s="90"/>
      <c r="Y66" s="90"/>
      <c r="Z66" s="90"/>
      <c r="AA66" s="90"/>
    </row>
    <row r="67" spans="3:27" ht="12" customHeight="1">
      <c r="C67" s="90"/>
      <c r="D67" s="90"/>
      <c r="E67" s="90"/>
      <c r="F67" s="90"/>
      <c r="G67" s="90"/>
      <c r="H67" s="90"/>
      <c r="I67" s="90"/>
      <c r="J67" s="90"/>
      <c r="K67" s="90"/>
      <c r="L67" s="90"/>
      <c r="M67" s="90"/>
      <c r="N67" s="90"/>
      <c r="O67" s="90"/>
      <c r="P67" s="90"/>
      <c r="Q67" s="90"/>
      <c r="R67" s="90"/>
      <c r="S67" s="90"/>
      <c r="T67" s="90"/>
      <c r="U67" s="90"/>
      <c r="V67" s="90"/>
      <c r="W67" s="90"/>
      <c r="X67" s="90"/>
      <c r="Y67" s="90"/>
      <c r="Z67" s="90"/>
      <c r="AA67" s="90"/>
    </row>
    <row r="68" spans="3:27" ht="12" customHeight="1">
      <c r="C68" s="90"/>
      <c r="D68" s="90"/>
      <c r="E68" s="90"/>
      <c r="F68" s="90"/>
      <c r="G68" s="90"/>
      <c r="H68" s="90"/>
      <c r="I68" s="90"/>
      <c r="J68" s="90"/>
      <c r="K68" s="90"/>
      <c r="L68" s="90"/>
      <c r="M68" s="90"/>
      <c r="N68" s="90"/>
      <c r="O68" s="90"/>
      <c r="P68" s="90"/>
      <c r="Q68" s="90"/>
      <c r="R68" s="90"/>
      <c r="S68" s="90"/>
      <c r="T68" s="90"/>
      <c r="U68" s="90"/>
      <c r="V68" s="90"/>
      <c r="W68" s="90"/>
      <c r="X68" s="90"/>
      <c r="Y68" s="90"/>
      <c r="Z68" s="90"/>
      <c r="AA68" s="90"/>
    </row>
    <row r="69" spans="3:27" ht="12" customHeight="1">
      <c r="C69" s="90"/>
      <c r="D69" s="90"/>
      <c r="E69" s="90"/>
      <c r="F69" s="90"/>
      <c r="G69" s="90"/>
      <c r="H69" s="90"/>
      <c r="I69" s="90"/>
      <c r="J69" s="90"/>
      <c r="K69" s="90"/>
      <c r="L69" s="90"/>
      <c r="M69" s="90"/>
      <c r="N69" s="90"/>
      <c r="O69" s="90"/>
      <c r="P69" s="90"/>
      <c r="Q69" s="90"/>
      <c r="R69" s="90"/>
      <c r="S69" s="90"/>
      <c r="T69" s="90"/>
      <c r="U69" s="90"/>
      <c r="V69" s="90"/>
      <c r="W69" s="90"/>
      <c r="X69" s="90"/>
      <c r="Y69" s="90"/>
      <c r="Z69" s="90"/>
      <c r="AA69" s="90"/>
    </row>
    <row r="70" spans="3:27" ht="12" customHeight="1">
      <c r="C70" s="90"/>
      <c r="D70" s="90"/>
      <c r="E70" s="90"/>
      <c r="F70" s="90"/>
      <c r="G70" s="90"/>
      <c r="H70" s="90"/>
      <c r="I70" s="90"/>
      <c r="J70" s="90"/>
      <c r="K70" s="90"/>
      <c r="L70" s="90"/>
      <c r="M70" s="90"/>
      <c r="N70" s="90"/>
      <c r="O70" s="90"/>
      <c r="P70" s="90"/>
      <c r="Q70" s="90"/>
      <c r="R70" s="90"/>
      <c r="S70" s="90"/>
      <c r="T70" s="90"/>
      <c r="U70" s="90"/>
      <c r="V70" s="90"/>
      <c r="W70" s="90"/>
      <c r="X70" s="90"/>
      <c r="Y70" s="90"/>
      <c r="Z70" s="90"/>
      <c r="AA70" s="90"/>
    </row>
    <row r="71" spans="3:27" ht="12" customHeight="1">
      <c r="C71" s="90"/>
      <c r="D71" s="90"/>
      <c r="E71" s="90"/>
      <c r="F71" s="90"/>
      <c r="G71" s="90"/>
      <c r="H71" s="90"/>
      <c r="I71" s="90"/>
      <c r="J71" s="90"/>
      <c r="K71" s="90"/>
      <c r="L71" s="90"/>
      <c r="M71" s="90"/>
      <c r="N71" s="90"/>
      <c r="O71" s="90"/>
      <c r="P71" s="90"/>
      <c r="Q71" s="90"/>
      <c r="R71" s="90"/>
      <c r="S71" s="90"/>
      <c r="T71" s="90"/>
      <c r="U71" s="90"/>
      <c r="V71" s="90"/>
      <c r="W71" s="90"/>
      <c r="X71" s="90"/>
      <c r="Y71" s="90"/>
      <c r="Z71" s="90"/>
      <c r="AA71" s="90"/>
    </row>
    <row r="72" spans="3:27" ht="12" customHeight="1">
      <c r="C72" s="90"/>
      <c r="D72" s="90"/>
      <c r="E72" s="90"/>
      <c r="F72" s="90"/>
      <c r="G72" s="90"/>
      <c r="H72" s="90"/>
      <c r="I72" s="90"/>
      <c r="J72" s="90"/>
      <c r="K72" s="90"/>
      <c r="L72" s="90"/>
      <c r="M72" s="90"/>
      <c r="N72" s="90"/>
      <c r="O72" s="90"/>
      <c r="P72" s="90"/>
      <c r="Q72" s="90"/>
      <c r="R72" s="90"/>
      <c r="S72" s="90"/>
      <c r="T72" s="90"/>
      <c r="U72" s="90"/>
      <c r="V72" s="90"/>
      <c r="W72" s="90"/>
      <c r="X72" s="90"/>
      <c r="Y72" s="90"/>
      <c r="Z72" s="90"/>
      <c r="AA72" s="90"/>
    </row>
    <row r="73" spans="3:27" ht="12" customHeight="1">
      <c r="C73" s="90"/>
      <c r="D73" s="90"/>
      <c r="E73" s="90"/>
      <c r="F73" s="90"/>
      <c r="G73" s="90"/>
      <c r="H73" s="90"/>
      <c r="I73" s="90"/>
      <c r="J73" s="90"/>
      <c r="K73" s="90"/>
      <c r="L73" s="90"/>
      <c r="M73" s="90"/>
      <c r="N73" s="90"/>
      <c r="O73" s="90"/>
      <c r="P73" s="90"/>
      <c r="Q73" s="90"/>
      <c r="R73" s="90"/>
      <c r="S73" s="90"/>
      <c r="T73" s="90"/>
      <c r="U73" s="90"/>
      <c r="V73" s="90"/>
      <c r="W73" s="90"/>
      <c r="X73" s="90"/>
      <c r="Y73" s="90"/>
      <c r="Z73" s="90"/>
      <c r="AA73" s="90"/>
    </row>
    <row r="74" spans="3:27" ht="12" customHeight="1">
      <c r="C74" s="90"/>
      <c r="D74" s="90"/>
      <c r="E74" s="90"/>
      <c r="F74" s="90"/>
      <c r="G74" s="90"/>
      <c r="H74" s="90"/>
      <c r="I74" s="90"/>
      <c r="J74" s="90"/>
      <c r="K74" s="90"/>
      <c r="L74" s="90"/>
      <c r="M74" s="90"/>
      <c r="N74" s="90"/>
      <c r="O74" s="90"/>
      <c r="P74" s="90"/>
      <c r="Q74" s="90"/>
      <c r="R74" s="90"/>
      <c r="S74" s="90"/>
      <c r="T74" s="90"/>
      <c r="U74" s="90"/>
      <c r="V74" s="90"/>
      <c r="W74" s="90"/>
      <c r="X74" s="90"/>
      <c r="Y74" s="90"/>
      <c r="Z74" s="90"/>
      <c r="AA74" s="90"/>
    </row>
    <row r="75" spans="3:27" ht="12" customHeight="1">
      <c r="C75" s="90"/>
      <c r="D75" s="90"/>
      <c r="E75" s="90"/>
      <c r="F75" s="90"/>
      <c r="G75" s="90"/>
      <c r="H75" s="90"/>
      <c r="I75" s="90"/>
      <c r="J75" s="90"/>
      <c r="K75" s="90"/>
      <c r="L75" s="90"/>
      <c r="M75" s="90"/>
      <c r="N75" s="90"/>
      <c r="O75" s="90"/>
      <c r="P75" s="90"/>
      <c r="Q75" s="90"/>
      <c r="R75" s="90"/>
      <c r="S75" s="90"/>
      <c r="T75" s="90"/>
      <c r="U75" s="90"/>
      <c r="V75" s="90"/>
      <c r="W75" s="90"/>
      <c r="X75" s="90"/>
      <c r="Y75" s="90"/>
      <c r="Z75" s="90"/>
      <c r="AA75" s="90"/>
    </row>
    <row r="76" spans="3:27" ht="12" customHeight="1">
      <c r="C76" s="90"/>
      <c r="D76" s="90"/>
      <c r="E76" s="90"/>
      <c r="F76" s="90"/>
      <c r="G76" s="90"/>
      <c r="H76" s="90"/>
      <c r="I76" s="90"/>
      <c r="J76" s="90"/>
      <c r="K76" s="90"/>
      <c r="L76" s="90"/>
      <c r="M76" s="90"/>
      <c r="N76" s="90"/>
      <c r="O76" s="90"/>
      <c r="P76" s="90"/>
      <c r="Q76" s="90"/>
      <c r="R76" s="90"/>
      <c r="S76" s="90"/>
      <c r="T76" s="90"/>
      <c r="U76" s="90"/>
      <c r="V76" s="90"/>
      <c r="W76" s="90"/>
      <c r="X76" s="90"/>
      <c r="Y76" s="90"/>
      <c r="Z76" s="90"/>
      <c r="AA76" s="90"/>
    </row>
    <row r="77" spans="3:27" ht="12" customHeight="1">
      <c r="C77" s="90"/>
      <c r="D77" s="90"/>
      <c r="E77" s="90"/>
      <c r="F77" s="90"/>
      <c r="G77" s="90"/>
      <c r="H77" s="90"/>
      <c r="I77" s="90"/>
      <c r="J77" s="90"/>
      <c r="K77" s="90"/>
      <c r="L77" s="90"/>
      <c r="M77" s="90"/>
      <c r="N77" s="90"/>
      <c r="O77" s="90"/>
      <c r="P77" s="90"/>
      <c r="Q77" s="90"/>
      <c r="R77" s="90"/>
      <c r="S77" s="90"/>
      <c r="T77" s="90"/>
      <c r="U77" s="90"/>
      <c r="V77" s="90"/>
      <c r="W77" s="90"/>
      <c r="X77" s="90"/>
      <c r="Y77" s="90"/>
      <c r="Z77" s="90"/>
      <c r="AA77" s="90"/>
    </row>
    <row r="78" spans="3:27" ht="12" customHeight="1">
      <c r="C78" s="90"/>
      <c r="D78" s="90"/>
      <c r="E78" s="90"/>
      <c r="F78" s="90"/>
      <c r="G78" s="90"/>
      <c r="H78" s="90"/>
      <c r="I78" s="90"/>
      <c r="J78" s="90"/>
      <c r="K78" s="90"/>
      <c r="L78" s="90"/>
      <c r="M78" s="90"/>
      <c r="N78" s="90"/>
      <c r="O78" s="90"/>
      <c r="P78" s="90"/>
      <c r="Q78" s="90"/>
      <c r="R78" s="90"/>
      <c r="S78" s="90"/>
      <c r="T78" s="90"/>
      <c r="U78" s="90"/>
      <c r="V78" s="90"/>
      <c r="W78" s="90"/>
      <c r="X78" s="90"/>
      <c r="Y78" s="90"/>
      <c r="Z78" s="90"/>
      <c r="AA78" s="90"/>
    </row>
    <row r="79" spans="3:27" ht="12" customHeight="1">
      <c r="C79" s="90"/>
      <c r="D79" s="90"/>
      <c r="E79" s="90"/>
      <c r="F79" s="90"/>
      <c r="G79" s="90"/>
      <c r="H79" s="90"/>
      <c r="I79" s="90"/>
      <c r="J79" s="90"/>
      <c r="K79" s="90"/>
      <c r="L79" s="90"/>
      <c r="M79" s="90"/>
      <c r="N79" s="90"/>
      <c r="O79" s="90"/>
      <c r="P79" s="90"/>
      <c r="Q79" s="90"/>
      <c r="R79" s="90"/>
      <c r="S79" s="90"/>
      <c r="T79" s="90"/>
      <c r="U79" s="90"/>
      <c r="V79" s="90"/>
      <c r="W79" s="90"/>
      <c r="X79" s="90"/>
      <c r="Y79" s="90"/>
      <c r="Z79" s="90"/>
      <c r="AA79" s="90"/>
    </row>
    <row r="80" spans="3:27" ht="12" customHeight="1">
      <c r="C80" s="90"/>
      <c r="D80" s="90"/>
      <c r="E80" s="90"/>
      <c r="F80" s="90"/>
      <c r="G80" s="90"/>
      <c r="H80" s="90"/>
      <c r="I80" s="90"/>
      <c r="J80" s="90"/>
      <c r="K80" s="90"/>
      <c r="L80" s="90"/>
      <c r="M80" s="90"/>
      <c r="N80" s="90"/>
      <c r="O80" s="90"/>
      <c r="P80" s="90"/>
      <c r="Q80" s="90"/>
      <c r="R80" s="90"/>
      <c r="S80" s="90"/>
      <c r="T80" s="90"/>
      <c r="U80" s="90"/>
      <c r="V80" s="90"/>
      <c r="W80" s="90"/>
      <c r="X80" s="90"/>
      <c r="Y80" s="90"/>
      <c r="Z80" s="90"/>
      <c r="AA80" s="90"/>
    </row>
    <row r="81" spans="3:27" ht="12" customHeight="1">
      <c r="C81" s="90"/>
      <c r="D81" s="90"/>
      <c r="E81" s="90"/>
      <c r="F81" s="90"/>
      <c r="G81" s="90"/>
      <c r="H81" s="90"/>
      <c r="I81" s="90"/>
      <c r="J81" s="90"/>
      <c r="K81" s="90"/>
      <c r="L81" s="90"/>
      <c r="M81" s="90"/>
      <c r="N81" s="90"/>
      <c r="O81" s="90"/>
      <c r="P81" s="90"/>
      <c r="Q81" s="90"/>
      <c r="R81" s="90"/>
      <c r="S81" s="90"/>
      <c r="T81" s="90"/>
      <c r="U81" s="90"/>
      <c r="V81" s="90"/>
      <c r="W81" s="90"/>
      <c r="X81" s="90"/>
      <c r="Y81" s="90"/>
      <c r="Z81" s="90"/>
      <c r="AA81" s="90"/>
    </row>
    <row r="82" spans="3:27" ht="12" customHeight="1">
      <c r="C82" s="90"/>
      <c r="D82" s="90"/>
      <c r="E82" s="90"/>
      <c r="F82" s="90"/>
      <c r="G82" s="90"/>
      <c r="H82" s="90"/>
      <c r="I82" s="90"/>
      <c r="J82" s="90"/>
      <c r="K82" s="90"/>
      <c r="L82" s="90"/>
      <c r="M82" s="90"/>
      <c r="N82" s="90"/>
      <c r="O82" s="90"/>
      <c r="P82" s="90"/>
      <c r="Q82" s="90"/>
      <c r="R82" s="90"/>
      <c r="S82" s="90"/>
      <c r="T82" s="90"/>
      <c r="U82" s="90"/>
      <c r="V82" s="90"/>
      <c r="W82" s="90"/>
      <c r="X82" s="90"/>
      <c r="Y82" s="90"/>
      <c r="Z82" s="90"/>
      <c r="AA82" s="90"/>
    </row>
    <row r="83" spans="3:27" ht="12" customHeight="1">
      <c r="C83" s="90"/>
      <c r="D83" s="90"/>
      <c r="E83" s="90"/>
      <c r="F83" s="90"/>
      <c r="G83" s="90"/>
      <c r="H83" s="90"/>
      <c r="I83" s="90"/>
      <c r="J83" s="90"/>
      <c r="K83" s="90"/>
      <c r="L83" s="90"/>
      <c r="M83" s="90"/>
      <c r="N83" s="90"/>
      <c r="O83" s="90"/>
      <c r="P83" s="90"/>
      <c r="Q83" s="90"/>
      <c r="R83" s="90"/>
      <c r="S83" s="90"/>
      <c r="T83" s="90"/>
      <c r="U83" s="90"/>
      <c r="V83" s="90"/>
      <c r="W83" s="90"/>
      <c r="X83" s="90"/>
      <c r="Y83" s="90"/>
      <c r="Z83" s="90"/>
      <c r="AA83" s="90"/>
    </row>
    <row r="84" spans="3:27" ht="12" customHeight="1">
      <c r="C84" s="90"/>
      <c r="D84" s="90"/>
      <c r="E84" s="90"/>
      <c r="F84" s="90"/>
      <c r="G84" s="90"/>
      <c r="H84" s="90"/>
      <c r="I84" s="90"/>
      <c r="J84" s="90"/>
      <c r="K84" s="90"/>
      <c r="L84" s="90"/>
      <c r="M84" s="90"/>
      <c r="N84" s="90"/>
      <c r="O84" s="90"/>
      <c r="P84" s="90"/>
      <c r="Q84" s="90"/>
      <c r="R84" s="90"/>
      <c r="S84" s="90"/>
      <c r="T84" s="90"/>
      <c r="U84" s="90"/>
      <c r="V84" s="90"/>
      <c r="W84" s="90"/>
      <c r="X84" s="90"/>
      <c r="Y84" s="90"/>
      <c r="Z84" s="90"/>
      <c r="AA84" s="90"/>
    </row>
    <row r="85" spans="3:27" ht="12" customHeight="1">
      <c r="C85" s="90"/>
      <c r="D85" s="90"/>
      <c r="E85" s="90"/>
      <c r="F85" s="90"/>
      <c r="G85" s="90"/>
      <c r="H85" s="90"/>
      <c r="I85" s="90"/>
      <c r="J85" s="90"/>
      <c r="K85" s="90"/>
      <c r="L85" s="90"/>
      <c r="M85" s="90"/>
      <c r="N85" s="90"/>
      <c r="O85" s="90"/>
      <c r="P85" s="90"/>
      <c r="Q85" s="90"/>
      <c r="R85" s="90"/>
      <c r="S85" s="90"/>
      <c r="T85" s="90"/>
      <c r="U85" s="90"/>
      <c r="V85" s="90"/>
      <c r="W85" s="90"/>
      <c r="X85" s="90"/>
      <c r="Y85" s="90"/>
      <c r="Z85" s="90"/>
      <c r="AA85" s="90"/>
    </row>
    <row r="86" spans="3:27" ht="12" customHeight="1">
      <c r="C86" s="90"/>
      <c r="D86" s="90"/>
      <c r="E86" s="90"/>
      <c r="F86" s="90"/>
      <c r="G86" s="90"/>
      <c r="H86" s="90"/>
      <c r="I86" s="90"/>
      <c r="J86" s="90"/>
      <c r="K86" s="90"/>
      <c r="L86" s="90"/>
      <c r="M86" s="90"/>
      <c r="N86" s="90"/>
      <c r="O86" s="90"/>
      <c r="P86" s="90"/>
      <c r="Q86" s="90"/>
      <c r="R86" s="90"/>
      <c r="S86" s="90"/>
      <c r="T86" s="90"/>
      <c r="U86" s="90"/>
      <c r="V86" s="90"/>
      <c r="W86" s="90"/>
      <c r="X86" s="90"/>
      <c r="Y86" s="90"/>
      <c r="Z86" s="90"/>
      <c r="AA86" s="90"/>
    </row>
    <row r="87" spans="3:27" ht="12" customHeight="1">
      <c r="C87" s="90"/>
      <c r="D87" s="90"/>
      <c r="E87" s="90"/>
      <c r="F87" s="90"/>
      <c r="G87" s="90"/>
      <c r="H87" s="90"/>
      <c r="I87" s="90"/>
      <c r="J87" s="90"/>
      <c r="K87" s="90"/>
      <c r="L87" s="90"/>
      <c r="M87" s="90"/>
      <c r="N87" s="90"/>
      <c r="O87" s="90"/>
      <c r="P87" s="90"/>
      <c r="Q87" s="90"/>
      <c r="R87" s="90"/>
      <c r="S87" s="90"/>
      <c r="T87" s="90"/>
      <c r="U87" s="90"/>
      <c r="V87" s="90"/>
      <c r="W87" s="90"/>
      <c r="X87" s="90"/>
      <c r="Y87" s="90"/>
      <c r="Z87" s="90"/>
      <c r="AA87" s="90"/>
    </row>
    <row r="88" spans="3:27" ht="12" customHeight="1">
      <c r="C88" s="90"/>
      <c r="D88" s="90"/>
      <c r="E88" s="90"/>
      <c r="F88" s="90"/>
      <c r="G88" s="90"/>
      <c r="H88" s="90"/>
      <c r="I88" s="90"/>
      <c r="J88" s="90"/>
      <c r="K88" s="90"/>
      <c r="L88" s="90"/>
      <c r="M88" s="90"/>
      <c r="N88" s="90"/>
      <c r="O88" s="90"/>
      <c r="P88" s="90"/>
      <c r="Q88" s="90"/>
      <c r="R88" s="90"/>
      <c r="S88" s="90"/>
      <c r="T88" s="90"/>
      <c r="U88" s="90"/>
      <c r="V88" s="90"/>
      <c r="W88" s="90"/>
      <c r="X88" s="90"/>
      <c r="Y88" s="90"/>
      <c r="Z88" s="90"/>
      <c r="AA88" s="90"/>
    </row>
    <row r="89" spans="3:27" ht="12" customHeight="1">
      <c r="C89" s="90"/>
      <c r="D89" s="90"/>
      <c r="E89" s="90"/>
      <c r="F89" s="90"/>
      <c r="G89" s="90"/>
      <c r="H89" s="90"/>
      <c r="I89" s="90"/>
      <c r="J89" s="90"/>
      <c r="K89" s="90"/>
      <c r="L89" s="90"/>
      <c r="M89" s="90"/>
      <c r="N89" s="90"/>
      <c r="O89" s="90"/>
      <c r="P89" s="90"/>
      <c r="Q89" s="90"/>
      <c r="R89" s="90"/>
      <c r="S89" s="90"/>
      <c r="T89" s="90"/>
      <c r="U89" s="90"/>
      <c r="V89" s="90"/>
      <c r="W89" s="90"/>
      <c r="X89" s="90"/>
      <c r="Y89" s="90"/>
      <c r="Z89" s="90"/>
      <c r="AA89" s="90"/>
    </row>
    <row r="90" spans="3:27" ht="12" customHeight="1">
      <c r="C90" s="90"/>
      <c r="D90" s="90"/>
      <c r="E90" s="90"/>
      <c r="F90" s="90"/>
      <c r="G90" s="90"/>
      <c r="H90" s="90"/>
      <c r="I90" s="90"/>
      <c r="J90" s="90"/>
      <c r="K90" s="90"/>
      <c r="L90" s="90"/>
      <c r="M90" s="90"/>
      <c r="N90" s="90"/>
      <c r="O90" s="90"/>
      <c r="P90" s="90"/>
      <c r="Q90" s="90"/>
      <c r="R90" s="90"/>
      <c r="S90" s="90"/>
      <c r="T90" s="90"/>
      <c r="U90" s="90"/>
      <c r="V90" s="90"/>
      <c r="W90" s="90"/>
      <c r="X90" s="90"/>
      <c r="Y90" s="90"/>
      <c r="Z90" s="90"/>
      <c r="AA90" s="90"/>
    </row>
    <row r="91" spans="3:27" ht="12" customHeight="1">
      <c r="C91" s="90"/>
      <c r="D91" s="90"/>
      <c r="E91" s="90"/>
      <c r="F91" s="90"/>
      <c r="G91" s="90"/>
      <c r="H91" s="90"/>
      <c r="I91" s="90"/>
      <c r="J91" s="90"/>
      <c r="K91" s="90"/>
      <c r="L91" s="90"/>
      <c r="M91" s="90"/>
      <c r="N91" s="90"/>
      <c r="O91" s="90"/>
      <c r="P91" s="90"/>
      <c r="Q91" s="90"/>
      <c r="R91" s="90"/>
      <c r="S91" s="90"/>
      <c r="T91" s="90"/>
      <c r="U91" s="90"/>
      <c r="V91" s="90"/>
      <c r="W91" s="90"/>
      <c r="X91" s="90"/>
      <c r="Y91" s="90"/>
      <c r="Z91" s="90"/>
      <c r="AA91" s="90"/>
    </row>
    <row r="92" spans="3:27" ht="12" customHeight="1">
      <c r="C92" s="90"/>
      <c r="D92" s="90"/>
      <c r="E92" s="90"/>
      <c r="F92" s="90"/>
      <c r="G92" s="90"/>
      <c r="H92" s="90"/>
      <c r="I92" s="90"/>
      <c r="J92" s="90"/>
      <c r="K92" s="90"/>
      <c r="L92" s="90"/>
      <c r="M92" s="90"/>
      <c r="N92" s="90"/>
      <c r="O92" s="90"/>
      <c r="P92" s="90"/>
      <c r="Q92" s="90"/>
      <c r="R92" s="90"/>
      <c r="S92" s="90"/>
      <c r="T92" s="90"/>
      <c r="U92" s="90"/>
      <c r="V92" s="90"/>
      <c r="W92" s="90"/>
      <c r="X92" s="90"/>
      <c r="Y92" s="90"/>
      <c r="Z92" s="90"/>
      <c r="AA92" s="90"/>
    </row>
    <row r="93" spans="3:27" ht="12" customHeight="1">
      <c r="C93" s="90"/>
      <c r="D93" s="90"/>
      <c r="E93" s="90"/>
      <c r="F93" s="90"/>
      <c r="G93" s="90"/>
      <c r="H93" s="90"/>
      <c r="I93" s="90"/>
      <c r="J93" s="90"/>
      <c r="K93" s="90"/>
      <c r="L93" s="90"/>
      <c r="M93" s="90"/>
      <c r="N93" s="90"/>
      <c r="O93" s="90"/>
      <c r="P93" s="90"/>
      <c r="Q93" s="90"/>
      <c r="R93" s="90"/>
      <c r="S93" s="90"/>
      <c r="T93" s="90"/>
      <c r="U93" s="90"/>
      <c r="V93" s="90"/>
      <c r="W93" s="90"/>
      <c r="X93" s="90"/>
      <c r="Y93" s="90"/>
      <c r="Z93" s="90"/>
      <c r="AA93" s="90"/>
    </row>
    <row r="94" spans="3:27" ht="12" customHeight="1">
      <c r="C94" s="90"/>
      <c r="D94" s="90"/>
      <c r="E94" s="90"/>
      <c r="F94" s="90"/>
      <c r="G94" s="90"/>
      <c r="H94" s="90"/>
      <c r="I94" s="90"/>
      <c r="J94" s="90"/>
      <c r="K94" s="90"/>
      <c r="L94" s="90"/>
      <c r="M94" s="90"/>
      <c r="N94" s="90"/>
      <c r="O94" s="90"/>
      <c r="P94" s="90"/>
      <c r="Q94" s="90"/>
      <c r="R94" s="90"/>
      <c r="S94" s="90"/>
      <c r="T94" s="90"/>
      <c r="U94" s="90"/>
      <c r="V94" s="90"/>
      <c r="W94" s="90"/>
      <c r="X94" s="90"/>
      <c r="Y94" s="90"/>
      <c r="Z94" s="90"/>
      <c r="AA94" s="90"/>
    </row>
    <row r="95" spans="3:27" ht="12" customHeight="1">
      <c r="C95" s="90"/>
      <c r="D95" s="90"/>
      <c r="E95" s="90"/>
      <c r="F95" s="90"/>
      <c r="G95" s="90"/>
      <c r="H95" s="90"/>
      <c r="I95" s="90"/>
      <c r="J95" s="90"/>
      <c r="K95" s="90"/>
      <c r="L95" s="90"/>
      <c r="M95" s="90"/>
      <c r="N95" s="90"/>
      <c r="O95" s="90"/>
      <c r="P95" s="90"/>
      <c r="Q95" s="90"/>
      <c r="R95" s="90"/>
      <c r="S95" s="90"/>
      <c r="T95" s="90"/>
      <c r="U95" s="90"/>
      <c r="V95" s="90"/>
      <c r="W95" s="90"/>
      <c r="X95" s="90"/>
      <c r="Y95" s="90"/>
      <c r="Z95" s="90"/>
      <c r="AA95" s="90"/>
    </row>
    <row r="96" spans="3:27" ht="12" customHeight="1">
      <c r="C96" s="90"/>
      <c r="D96" s="90"/>
      <c r="E96" s="90"/>
      <c r="F96" s="90"/>
      <c r="G96" s="90"/>
      <c r="H96" s="90"/>
      <c r="I96" s="90"/>
      <c r="J96" s="90"/>
      <c r="K96" s="90"/>
      <c r="L96" s="90"/>
      <c r="M96" s="90"/>
      <c r="N96" s="90"/>
      <c r="O96" s="90"/>
      <c r="P96" s="90"/>
      <c r="Q96" s="90"/>
      <c r="R96" s="90"/>
      <c r="S96" s="90"/>
      <c r="T96" s="90"/>
      <c r="U96" s="90"/>
      <c r="V96" s="90"/>
      <c r="W96" s="90"/>
      <c r="X96" s="90"/>
      <c r="Y96" s="90"/>
      <c r="Z96" s="90"/>
      <c r="AA96" s="90"/>
    </row>
    <row r="97" spans="3:27" ht="12" customHeight="1">
      <c r="C97" s="90"/>
      <c r="D97" s="90"/>
      <c r="E97" s="90"/>
      <c r="F97" s="90"/>
      <c r="G97" s="90"/>
      <c r="H97" s="90"/>
      <c r="I97" s="90"/>
      <c r="J97" s="90"/>
      <c r="K97" s="90"/>
      <c r="L97" s="90"/>
      <c r="M97" s="90"/>
      <c r="N97" s="90"/>
      <c r="O97" s="90"/>
      <c r="P97" s="90"/>
      <c r="Q97" s="90"/>
      <c r="R97" s="90"/>
      <c r="S97" s="90"/>
      <c r="T97" s="90"/>
      <c r="U97" s="90"/>
      <c r="V97" s="90"/>
      <c r="W97" s="90"/>
      <c r="X97" s="90"/>
      <c r="Y97" s="90"/>
      <c r="Z97" s="90"/>
      <c r="AA97" s="90"/>
    </row>
    <row r="98" spans="3:27" ht="12" customHeight="1">
      <c r="C98" s="90"/>
      <c r="D98" s="90"/>
      <c r="E98" s="90"/>
      <c r="F98" s="90"/>
      <c r="G98" s="90"/>
      <c r="H98" s="90"/>
      <c r="I98" s="90"/>
      <c r="J98" s="90"/>
      <c r="K98" s="90"/>
      <c r="L98" s="90"/>
      <c r="M98" s="90"/>
      <c r="N98" s="90"/>
      <c r="O98" s="90"/>
      <c r="P98" s="90"/>
      <c r="Q98" s="90"/>
      <c r="R98" s="90"/>
      <c r="S98" s="90"/>
      <c r="T98" s="90"/>
      <c r="U98" s="90"/>
      <c r="V98" s="90"/>
      <c r="W98" s="90"/>
      <c r="X98" s="90"/>
      <c r="Y98" s="90"/>
      <c r="Z98" s="90"/>
      <c r="AA98" s="90"/>
    </row>
    <row r="99" spans="3:27" ht="12" customHeight="1">
      <c r="C99" s="90"/>
      <c r="D99" s="90"/>
      <c r="E99" s="90"/>
      <c r="F99" s="90"/>
      <c r="G99" s="90"/>
      <c r="H99" s="90"/>
      <c r="I99" s="90"/>
      <c r="J99" s="90"/>
      <c r="K99" s="90"/>
      <c r="L99" s="90"/>
      <c r="M99" s="90"/>
      <c r="N99" s="90"/>
      <c r="O99" s="90"/>
      <c r="P99" s="90"/>
      <c r="Q99" s="90"/>
      <c r="R99" s="90"/>
      <c r="S99" s="90"/>
      <c r="T99" s="90"/>
      <c r="U99" s="90"/>
      <c r="V99" s="90"/>
      <c r="W99" s="90"/>
      <c r="X99" s="90"/>
      <c r="Y99" s="90"/>
      <c r="Z99" s="90"/>
      <c r="AA99" s="90"/>
    </row>
    <row r="100" spans="3:27" ht="12" customHeight="1">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c r="AA100" s="90"/>
    </row>
    <row r="101" spans="3:27" ht="12" customHeight="1">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c r="AA101" s="90"/>
    </row>
    <row r="102" spans="3:27" ht="12" customHeight="1">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c r="AA102" s="90"/>
    </row>
    <row r="103" spans="3:27" ht="12" customHeight="1">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c r="AA103" s="90"/>
    </row>
    <row r="104" spans="3:27" ht="12" customHeight="1">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c r="AA104" s="90"/>
    </row>
    <row r="105" spans="3:27" ht="12" customHeight="1">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c r="AA105" s="90"/>
    </row>
    <row r="106" spans="3:27" ht="12" customHeight="1">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c r="AA106" s="90"/>
    </row>
    <row r="107" spans="3:27" ht="12" customHeight="1">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c r="AA107" s="90"/>
    </row>
    <row r="108" spans="3:27" ht="12" customHeight="1">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c r="AA108" s="90"/>
    </row>
    <row r="109" spans="3:27" ht="12" customHeight="1">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c r="AA109" s="90"/>
    </row>
    <row r="110" spans="3:27" ht="12" customHeight="1">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c r="AA110" s="90"/>
    </row>
    <row r="111" spans="3:27" ht="12" customHeight="1">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c r="AA111" s="90"/>
    </row>
    <row r="112" spans="3:27" ht="12" customHeight="1">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c r="AA112" s="90"/>
    </row>
    <row r="113" spans="3:27" ht="12" customHeight="1">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c r="AA113" s="90"/>
    </row>
    <row r="114" spans="3:27" ht="12" customHeight="1">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c r="AA114" s="90"/>
    </row>
    <row r="115" spans="3:27" ht="12" customHeight="1">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c r="AA115" s="90"/>
    </row>
    <row r="116" spans="3:27" ht="12" customHeight="1">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c r="AA116" s="90"/>
    </row>
    <row r="117" spans="3:27" ht="12" customHeight="1">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c r="AA117" s="90"/>
    </row>
    <row r="118" spans="3:27" ht="12" customHeight="1">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c r="AA118" s="90"/>
    </row>
    <row r="119" spans="3:27" ht="12" customHeight="1">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c r="AA119" s="90"/>
    </row>
    <row r="120" spans="3:27" ht="12" customHeight="1">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c r="AA120" s="90"/>
    </row>
    <row r="121" spans="3:27" ht="12" customHeight="1">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c r="AA121" s="90"/>
    </row>
    <row r="122" spans="3:27" ht="12" customHeight="1">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c r="AA122" s="90"/>
    </row>
    <row r="123" spans="3:27" ht="12" customHeight="1">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c r="AA123" s="90"/>
    </row>
    <row r="124" spans="3:27" ht="12" customHeight="1">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c r="AA124" s="90"/>
    </row>
    <row r="125" spans="3:27" ht="12" customHeight="1">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c r="AA125" s="90"/>
    </row>
    <row r="126" spans="3:27" ht="12" customHeight="1">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c r="AA126" s="90"/>
    </row>
    <row r="127" spans="3:27" ht="12" customHeight="1">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c r="AA127" s="90"/>
    </row>
    <row r="128" spans="3:27" ht="12" customHeight="1">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c r="AA128" s="90"/>
    </row>
    <row r="129" spans="3:27" ht="12" customHeight="1">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c r="AA129" s="90"/>
    </row>
    <row r="130" spans="3:27" ht="12" customHeight="1">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c r="AA130" s="90"/>
    </row>
    <row r="131" spans="3:27" ht="12" customHeight="1">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c r="AA131" s="90"/>
    </row>
    <row r="132" spans="3:27" ht="12" customHeight="1">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c r="AA132" s="90"/>
    </row>
    <row r="133" spans="3:27" ht="12" customHeight="1">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c r="AA133" s="90"/>
    </row>
    <row r="134" spans="3:27" ht="12" customHeight="1">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c r="AA134" s="90"/>
    </row>
    <row r="135" spans="3:27" ht="12" customHeight="1">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c r="AA135" s="90"/>
    </row>
    <row r="136" spans="3:27" ht="12" customHeight="1">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c r="AA136" s="90"/>
    </row>
    <row r="137" spans="3:27" ht="12" customHeight="1">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c r="AA137" s="90"/>
    </row>
    <row r="138" spans="3:27" ht="12" customHeight="1">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c r="AA138" s="90"/>
    </row>
    <row r="139" spans="3:27" ht="12" customHeight="1">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c r="AA139" s="90"/>
    </row>
    <row r="140" spans="3:27" ht="12" customHeight="1">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c r="AA140" s="90"/>
    </row>
    <row r="141" spans="3:27" ht="12" customHeight="1">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c r="AA141" s="90"/>
    </row>
    <row r="142" spans="3:27" ht="12" customHeight="1">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c r="AA142" s="90"/>
    </row>
    <row r="143" spans="3:27" ht="12" customHeight="1">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c r="AA143" s="90"/>
    </row>
    <row r="144" spans="3:27" ht="12" customHeight="1">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c r="AA144" s="90"/>
    </row>
    <row r="145" spans="3:27" ht="12" customHeight="1">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c r="AA145" s="90"/>
    </row>
    <row r="146" spans="3:27" ht="12" customHeight="1">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c r="AA146" s="90"/>
    </row>
    <row r="147" spans="3:27" ht="12" customHeight="1">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c r="AA147" s="90"/>
    </row>
    <row r="148" spans="3:27" ht="12" customHeight="1">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c r="AA148" s="90"/>
    </row>
    <row r="149" spans="3:27" ht="12" customHeight="1">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c r="AA149" s="90"/>
    </row>
    <row r="150" spans="3:27" ht="12" customHeight="1">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c r="AA150" s="90"/>
    </row>
    <row r="151" spans="3:27" ht="12" customHeight="1">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c r="AA151" s="90"/>
    </row>
    <row r="152" spans="3:27" ht="12" customHeight="1">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c r="AA152" s="90"/>
    </row>
    <row r="153" spans="3:27" ht="12" customHeight="1">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c r="AA153" s="90"/>
    </row>
    <row r="154" spans="3:27" ht="12" customHeight="1">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c r="AA154" s="90"/>
    </row>
    <row r="155" spans="3:27" ht="12" customHeight="1">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c r="AA155" s="90"/>
    </row>
    <row r="156" spans="3:27" ht="12" customHeight="1">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c r="AA156" s="90"/>
    </row>
    <row r="157" spans="3:27" ht="12" customHeight="1">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c r="AA157" s="90"/>
    </row>
    <row r="158" spans="3:27" ht="12" customHeight="1">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c r="AA158" s="90"/>
    </row>
    <row r="159" spans="3:27" ht="12" customHeight="1">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c r="AA159" s="90"/>
    </row>
    <row r="160" spans="3:27" ht="12" customHeight="1">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c r="AA160" s="90"/>
    </row>
    <row r="161" spans="3:27" ht="12" customHeight="1">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c r="AA161" s="90"/>
    </row>
    <row r="162" spans="3:27" ht="12" customHeight="1">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c r="AA162" s="90"/>
    </row>
    <row r="163" spans="3:27" ht="12" customHeight="1">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c r="AA163" s="90"/>
    </row>
    <row r="164" spans="3:27" ht="12" customHeight="1">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c r="AA164" s="90"/>
    </row>
    <row r="165" spans="3:27" ht="12" customHeight="1">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c r="AA165" s="90"/>
    </row>
    <row r="166" spans="3:27" ht="12" customHeight="1">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c r="AA166" s="90"/>
    </row>
    <row r="167" spans="3:27" ht="12" customHeight="1">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c r="AA167" s="90"/>
    </row>
    <row r="168" spans="3:27" ht="12" customHeight="1">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c r="AA168" s="90"/>
    </row>
    <row r="169" spans="3:27" ht="12" customHeight="1">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c r="AA169" s="90"/>
    </row>
    <row r="170" spans="3:27" ht="12" customHeight="1">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c r="AA170" s="90"/>
    </row>
    <row r="171" spans="3:27" ht="12" customHeight="1">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c r="AA171" s="90"/>
    </row>
    <row r="172" spans="3:27" ht="12" customHeight="1">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c r="AA172" s="90"/>
    </row>
    <row r="173" spans="3:27" ht="12" customHeight="1">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c r="AA173" s="90"/>
    </row>
    <row r="174" spans="3:27" ht="12" customHeight="1">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c r="AA174" s="90"/>
    </row>
    <row r="175" spans="3:27" ht="12" customHeight="1">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c r="AA175" s="90"/>
    </row>
    <row r="176" spans="3:27" ht="12" customHeight="1">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c r="AA176" s="90"/>
    </row>
    <row r="177" spans="3:27" ht="12" customHeight="1">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c r="AA177" s="90"/>
    </row>
    <row r="178" spans="3:27" ht="12" customHeight="1">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c r="AA178" s="90"/>
    </row>
    <row r="179" spans="3:27" ht="12" customHeight="1">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c r="AA179" s="90"/>
    </row>
    <row r="180" spans="3:27" ht="12" customHeight="1">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c r="AA180" s="90"/>
    </row>
    <row r="181" spans="3:27" ht="12" customHeight="1">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c r="AA181" s="90"/>
    </row>
    <row r="182" spans="3:27" ht="12" customHeight="1">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c r="AA182" s="90"/>
    </row>
    <row r="183" spans="3:27" ht="12" customHeight="1">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c r="AA183" s="90"/>
    </row>
    <row r="184" spans="3:27" ht="12" customHeight="1">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c r="AA184" s="90"/>
    </row>
    <row r="185" spans="3:27" ht="12" customHeight="1">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c r="AA185" s="90"/>
    </row>
    <row r="186" spans="3:27" ht="12" customHeight="1">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c r="AA186" s="90"/>
    </row>
    <row r="187" spans="3:27" ht="12" customHeight="1">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c r="AA187" s="90"/>
    </row>
    <row r="188" spans="3:27" ht="12" customHeight="1">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c r="AA188" s="90"/>
    </row>
    <row r="189" spans="3:27" ht="12" customHeight="1">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c r="AA189" s="90"/>
    </row>
    <row r="190" spans="3:27" ht="12" customHeight="1">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c r="AA190" s="90"/>
    </row>
    <row r="191" spans="3:27" ht="12" customHeight="1">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c r="AA191" s="90"/>
    </row>
    <row r="192" spans="3:27" ht="12" customHeight="1">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c r="AA192" s="90"/>
    </row>
    <row r="193" spans="3:27" ht="12" customHeight="1">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c r="AA193" s="90"/>
    </row>
    <row r="194" spans="3:27" ht="12" customHeight="1">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c r="AA194" s="90"/>
    </row>
    <row r="195" spans="3:27" ht="12" customHeight="1">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c r="AA195" s="90"/>
    </row>
    <row r="196" spans="3:27" ht="12" customHeight="1">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c r="AA196" s="90"/>
    </row>
    <row r="197" spans="3:27" ht="12" customHeight="1">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c r="AA197" s="90"/>
    </row>
    <row r="198" spans="3:27" ht="12" customHeight="1">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c r="AA198" s="90"/>
    </row>
    <row r="199" spans="3:27" ht="12" customHeight="1">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c r="AA199" s="90"/>
    </row>
    <row r="200" spans="3:27" ht="12" customHeight="1">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c r="AA200" s="90"/>
    </row>
    <row r="201" spans="3:27" ht="12" customHeight="1">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c r="AA201" s="90"/>
    </row>
    <row r="202" spans="3:27" ht="12" customHeight="1">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c r="AA202" s="90"/>
    </row>
    <row r="203" spans="3:27" ht="12" customHeight="1">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c r="AA203" s="90"/>
    </row>
    <row r="204" spans="3:27" ht="12" customHeight="1">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c r="AA204" s="90"/>
    </row>
    <row r="205" spans="3:27" ht="12" customHeight="1">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c r="AA205" s="90"/>
    </row>
    <row r="206" spans="3:27" ht="12" customHeight="1">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c r="AA206" s="90"/>
    </row>
    <row r="207" spans="3:27" ht="12" customHeight="1">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c r="AA207" s="90"/>
    </row>
    <row r="208" spans="3:27" ht="12" customHeight="1">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c r="AA208" s="90"/>
    </row>
    <row r="209" spans="3:27" ht="12" customHeight="1">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c r="AA209" s="90"/>
    </row>
    <row r="210" spans="3:27" ht="12" customHeight="1">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c r="AA210" s="90"/>
    </row>
    <row r="211" spans="3:27" ht="12" customHeight="1">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c r="AA211" s="90"/>
    </row>
    <row r="212" spans="3:27" ht="12" customHeight="1">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c r="AA212" s="90"/>
    </row>
    <row r="213" spans="3:27" ht="12" customHeight="1">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c r="AA213" s="90"/>
    </row>
    <row r="214" spans="3:27" ht="12" customHeight="1">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c r="AA214" s="90"/>
    </row>
    <row r="215" spans="3:27" ht="12" customHeight="1">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c r="AA215" s="90"/>
    </row>
    <row r="216" spans="3:27" ht="15.75" customHeight="1"/>
    <row r="217" spans="3:27" ht="15.75" customHeight="1"/>
    <row r="218" spans="3:27" ht="15.75" customHeight="1"/>
    <row r="219" spans="3:27" ht="15.75" customHeight="1"/>
    <row r="220" spans="3:27" ht="15.75" customHeight="1"/>
    <row r="221" spans="3:27" ht="15.75" customHeight="1"/>
    <row r="222" spans="3:27" ht="15.75" customHeight="1"/>
    <row r="223" spans="3:27" ht="15.75" customHeight="1"/>
    <row r="224" spans="3:2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phoneticPr fontId="5"/>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方針</vt:lpstr>
      <vt:lpstr>サンプル</vt:lpstr>
      <vt:lpstr>商品マスタCSV項目</vt:lpstr>
      <vt:lpstr>販売基本情報CSV項目</vt:lpstr>
      <vt:lpstr>販売条件CSV項目</vt:lpstr>
      <vt:lpstr>会員CSV項目</vt:lpstr>
      <vt:lpstr>会員アドレス帳CSV項目</vt:lpstr>
      <vt:lpstr>会員ポイントCSV項目</vt:lpstr>
      <vt:lpstr>注文履歴CSV項目</vt:lpstr>
      <vt:lpstr>注文履歴明細CSV項目</vt:lpstr>
      <vt:lpstr>法人CSV項目</vt:lpstr>
      <vt:lpstr>(参考)eshop会員グループコード</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山田 未央</cp:lastModifiedBy>
  <dcterms:created xsi:type="dcterms:W3CDTF">2025-07-30T09:49:44Z</dcterms:created>
  <dcterms:modified xsi:type="dcterms:W3CDTF">2026-06-27T08:59:02Z</dcterms:modified>
</cp:coreProperties>
</file>